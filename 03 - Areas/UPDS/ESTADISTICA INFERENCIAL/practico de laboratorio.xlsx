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59168\Desktop\"/>
    </mc:Choice>
  </mc:AlternateContent>
  <xr:revisionPtr revIDLastSave="0" documentId="13_ncr:1_{37C9CCB1-1273-4565-9FC1-D3F8F6378560}" xr6:coauthVersionLast="43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Output" sheetId="4" r:id="rId1"/>
    <sheet name="ejercicio con megastat" sheetId="3" r:id="rId2"/>
    <sheet name="ejercicio spss" sheetId="5" r:id="rId3"/>
    <sheet name="ejercicio en excel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7" i="5" l="1"/>
  <c r="E7" i="5" s="1"/>
  <c r="F118" i="3" l="1"/>
  <c r="E118" i="3"/>
  <c r="C92" i="3"/>
  <c r="D92" i="3" s="1"/>
  <c r="F98" i="3"/>
  <c r="F100" i="3" s="1"/>
  <c r="E98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J11" i="3"/>
  <c r="F11" i="3"/>
  <c r="C8" i="3"/>
  <c r="D8" i="3" s="1"/>
  <c r="J11" i="2"/>
  <c r="F11" i="2"/>
  <c r="D8" i="2"/>
  <c r="C8" i="2"/>
  <c r="D15" i="2" l="1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14" i="2"/>
</calcChain>
</file>

<file path=xl/sharedStrings.xml><?xml version="1.0" encoding="utf-8"?>
<sst xmlns="http://schemas.openxmlformats.org/spreadsheetml/2006/main" count="94" uniqueCount="24">
  <si>
    <t>LA TEMPERATURA DURANTE EL MES DE AGOSTO ESTÁ DISTRIBUIDA NORMALMENTE CON PROMEDIO 24,5ºC Y</t>
  </si>
  <si>
    <r>
      <t xml:space="preserve">Media </t>
    </r>
    <r>
      <rPr>
        <sz val="14"/>
        <color theme="1"/>
        <rFont val="Calibri"/>
        <family val="2"/>
        <scheme val="minor"/>
      </rPr>
      <t>μ :</t>
    </r>
  </si>
  <si>
    <r>
      <t>Desviación</t>
    </r>
    <r>
      <rPr>
        <sz val="12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σ :</t>
    </r>
  </si>
  <si>
    <t>X :</t>
  </si>
  <si>
    <t>DESVIACIÓN  ESTANDAR DE  5ºC,  CUAL ES LA PROBABILIDAD DE QUE LA TEMPERATURA EN AGOSTO ESTÉ POR ENCIMA DE 30ºC</t>
  </si>
  <si>
    <t>FUENTE: https://www.youtube.com/watch?v=8BYz766Qz1I&amp;t=174s</t>
  </si>
  <si>
    <t>Amplitud</t>
  </si>
  <si>
    <t>Integrantes:</t>
  </si>
  <si>
    <t xml:space="preserve">     </t>
  </si>
  <si>
    <t xml:space="preserve"> </t>
  </si>
  <si>
    <t>Desviación σ :</t>
  </si>
  <si>
    <t>x&lt;64</t>
  </si>
  <si>
    <t>Los focos de alumbrado eléctrico producidos por una compañía eléctrica tienen una distribución normal con una media de 1000 horas y una desviación estándar de 50 horas.</t>
  </si>
  <si>
    <t>a. Determinar la probabilidad de que un foco se queme como máximo en 990 horas</t>
  </si>
  <si>
    <t>b. Si se conoce que el 25 por ciento de los focos cuentan con un bajo rendimiento cuál es la duración máxima de los focos que tienen menor rendimiento </t>
  </si>
  <si>
    <t xml:space="preserve">    Normal distribution</t>
  </si>
  <si>
    <t xml:space="preserve">  P(lower)</t>
  </si>
  <si>
    <t xml:space="preserve">  P(upper)</t>
  </si>
  <si>
    <t xml:space="preserve">z </t>
  </si>
  <si>
    <t xml:space="preserve">X </t>
  </si>
  <si>
    <t>mean</t>
  </si>
  <si>
    <t>std.dev</t>
  </si>
  <si>
    <t xml:space="preserve">   Douglas Flor Hernandez</t>
  </si>
  <si>
    <t>Andrea Sanz Arauz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</si>
</sst>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;;;"/>
    <numFmt numFmtId="166" formatCode=".0000"/>
    <numFmt numFmtId="167" formatCode="#,##0\ ;\-#,##0\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5" fillId="5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164" fontId="0" fillId="4" borderId="0" xfId="1" applyNumberFormat="1" applyFont="1" applyFill="1" applyAlignment="1">
      <alignment horizontal="center"/>
    </xf>
    <xf numFmtId="10" fontId="0" fillId="0" borderId="0" xfId="1" applyNumberFormat="1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10" fontId="0" fillId="0" borderId="0" xfId="1" applyNumberFormat="1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0" fontId="0" fillId="0" borderId="0" xfId="0" applyNumberFormat="1"/>
    <xf numFmtId="0" fontId="7" fillId="4" borderId="0" xfId="0" applyFont="1" applyFill="1" applyAlignment="1">
      <alignment horizontal="center"/>
    </xf>
    <xf numFmtId="0" fontId="8" fillId="0" borderId="0" xfId="0" applyFont="1" applyAlignment="1">
      <alignment vertical="center"/>
    </xf>
    <xf numFmtId="0" fontId="9" fillId="0" borderId="0" xfId="0" applyFont="1"/>
    <xf numFmtId="165" fontId="9" fillId="0" borderId="0" xfId="0" applyNumberFormat="1" applyFont="1"/>
    <xf numFmtId="0" fontId="10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166" fontId="9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right"/>
    </xf>
    <xf numFmtId="167" fontId="9" fillId="0" borderId="0" xfId="0" applyNumberFormat="1" applyFont="1" applyAlignment="1">
      <alignment horizontal="right"/>
    </xf>
    <xf numFmtId="166" fontId="11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'ejercicio con megastat'!$A$13:$A$313</c:f>
              <c:numCache>
                <c:formatCode>General</c:formatCode>
                <c:ptCount val="203"/>
              </c:numCache>
            </c:numRef>
          </c:cat>
          <c:val>
            <c:numRef>
              <c:f>'ejercicio con megastat'!$B$72:$B$313</c:f>
              <c:numCache>
                <c:formatCode>General</c:formatCode>
                <c:ptCount val="20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E-4DE9-A747-1300BD041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542720"/>
        <c:axId val="273832272"/>
      </c:areaChart>
      <c:catAx>
        <c:axId val="15454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73832272"/>
        <c:crosses val="autoZero"/>
        <c:auto val="1"/>
        <c:lblAlgn val="ctr"/>
        <c:lblOffset val="100"/>
        <c:noMultiLvlLbl val="0"/>
      </c:catAx>
      <c:valAx>
        <c:axId val="27383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4542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>
        <c:manualLayout>
          <c:layoutTarget val="inner"/>
          <c:xMode val="edge"/>
          <c:yMode val="edge"/>
          <c:x val="7.1594925634295717E-2"/>
          <c:y val="2.5428331875182269E-2"/>
          <c:w val="0.87129396325459318"/>
          <c:h val="0.72088764946048411"/>
        </c:manualLayout>
      </c:layout>
      <c:areaChart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'ejercicio con megastat'!$C$14:$C$74</c:f>
            </c:numRef>
          </c:cat>
          <c:val>
            <c:numRef>
              <c:f>'ejercicio con megastat'!$D$14:$D$74</c:f>
            </c:numRef>
          </c:val>
          <c:extLst>
            <c:ext xmlns:c16="http://schemas.microsoft.com/office/drawing/2014/chart" uri="{C3380CC4-5D6E-409C-BE32-E72D297353CC}">
              <c16:uniqueId val="{00000000-1724-486A-829D-9B2A9EF65DC0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'ejercicio con megastat'!$C$14:$C$74</c:f>
            </c:numRef>
          </c:cat>
          <c:val>
            <c:numRef>
              <c:f>'ejercicio con megastat'!$E$14:$E$74</c:f>
            </c:numRef>
          </c:val>
          <c:extLst>
            <c:ext xmlns:c16="http://schemas.microsoft.com/office/drawing/2014/chart" uri="{C3380CC4-5D6E-409C-BE32-E72D297353CC}">
              <c16:uniqueId val="{00000001-1724-486A-829D-9B2A9EF65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443904"/>
        <c:axId val="263655616"/>
      </c:areaChart>
      <c:catAx>
        <c:axId val="34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63655616"/>
        <c:crosses val="autoZero"/>
        <c:auto val="1"/>
        <c:lblAlgn val="ctr"/>
        <c:lblOffset val="100"/>
        <c:noMultiLvlLbl val="0"/>
      </c:catAx>
      <c:valAx>
        <c:axId val="26365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0443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'ejercicio en excel'!$A$13:$A$313</c:f>
              <c:numCache>
                <c:formatCode>General</c:formatCode>
                <c:ptCount val="301"/>
              </c:numCache>
            </c:numRef>
          </c:cat>
          <c:val>
            <c:numRef>
              <c:f>'ejercicio en excel'!$B$72:$B$313</c:f>
              <c:numCache>
                <c:formatCode>General</c:formatCode>
                <c:ptCount val="242"/>
              </c:numCache>
            </c:numRef>
          </c:val>
          <c:extLst>
            <c:ext xmlns:c16="http://schemas.microsoft.com/office/drawing/2014/chart" uri="{C3380CC4-5D6E-409C-BE32-E72D297353CC}">
              <c16:uniqueId val="{00000000-CE9C-45BE-9ED8-0ED0F51B8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542720"/>
        <c:axId val="273832272"/>
      </c:areaChart>
      <c:catAx>
        <c:axId val="15454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73832272"/>
        <c:crosses val="autoZero"/>
        <c:auto val="1"/>
        <c:lblAlgn val="ctr"/>
        <c:lblOffset val="100"/>
        <c:noMultiLvlLbl val="0"/>
      </c:catAx>
      <c:valAx>
        <c:axId val="27383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4542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>
        <c:manualLayout>
          <c:layoutTarget val="inner"/>
          <c:xMode val="edge"/>
          <c:yMode val="edge"/>
          <c:x val="7.1594925634295717E-2"/>
          <c:y val="2.5428331875182269E-2"/>
          <c:w val="0.87129396325459318"/>
          <c:h val="0.72088764946048411"/>
        </c:manualLayout>
      </c:layout>
      <c:areaChart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'ejercicio en excel'!$C$14:$C$74</c:f>
              <c:numCache>
                <c:formatCode>General</c:formatCode>
                <c:ptCount val="61"/>
                <c:pt idx="0">
                  <c:v>9.5</c:v>
                </c:pt>
                <c:pt idx="1">
                  <c:v>10</c:v>
                </c:pt>
                <c:pt idx="2">
                  <c:v>10.5</c:v>
                </c:pt>
                <c:pt idx="3">
                  <c:v>11</c:v>
                </c:pt>
                <c:pt idx="4">
                  <c:v>11.5</c:v>
                </c:pt>
                <c:pt idx="5">
                  <c:v>12</c:v>
                </c:pt>
                <c:pt idx="6">
                  <c:v>12.5</c:v>
                </c:pt>
                <c:pt idx="7">
                  <c:v>13</c:v>
                </c:pt>
                <c:pt idx="8">
                  <c:v>13.5</c:v>
                </c:pt>
                <c:pt idx="9">
                  <c:v>14</c:v>
                </c:pt>
                <c:pt idx="10">
                  <c:v>14.5</c:v>
                </c:pt>
                <c:pt idx="11">
                  <c:v>15</c:v>
                </c:pt>
                <c:pt idx="12">
                  <c:v>15.5</c:v>
                </c:pt>
                <c:pt idx="13">
                  <c:v>16</c:v>
                </c:pt>
                <c:pt idx="14">
                  <c:v>16.5</c:v>
                </c:pt>
                <c:pt idx="15">
                  <c:v>17</c:v>
                </c:pt>
                <c:pt idx="16">
                  <c:v>17.5</c:v>
                </c:pt>
                <c:pt idx="17">
                  <c:v>18</c:v>
                </c:pt>
                <c:pt idx="18">
                  <c:v>18.5</c:v>
                </c:pt>
                <c:pt idx="19">
                  <c:v>19</c:v>
                </c:pt>
                <c:pt idx="20">
                  <c:v>19.5</c:v>
                </c:pt>
                <c:pt idx="21">
                  <c:v>20</c:v>
                </c:pt>
                <c:pt idx="22">
                  <c:v>20.5</c:v>
                </c:pt>
                <c:pt idx="23">
                  <c:v>21</c:v>
                </c:pt>
                <c:pt idx="24">
                  <c:v>21.5</c:v>
                </c:pt>
                <c:pt idx="25">
                  <c:v>22</c:v>
                </c:pt>
                <c:pt idx="26">
                  <c:v>22.5</c:v>
                </c:pt>
                <c:pt idx="27">
                  <c:v>23</c:v>
                </c:pt>
                <c:pt idx="28">
                  <c:v>23.5</c:v>
                </c:pt>
                <c:pt idx="29">
                  <c:v>24</c:v>
                </c:pt>
                <c:pt idx="30">
                  <c:v>24.5</c:v>
                </c:pt>
                <c:pt idx="31">
                  <c:v>25</c:v>
                </c:pt>
                <c:pt idx="32">
                  <c:v>25.5</c:v>
                </c:pt>
                <c:pt idx="33">
                  <c:v>26</c:v>
                </c:pt>
                <c:pt idx="34">
                  <c:v>26.5</c:v>
                </c:pt>
                <c:pt idx="35">
                  <c:v>27</c:v>
                </c:pt>
                <c:pt idx="36">
                  <c:v>27.5</c:v>
                </c:pt>
                <c:pt idx="37">
                  <c:v>28</c:v>
                </c:pt>
                <c:pt idx="38">
                  <c:v>28.5</c:v>
                </c:pt>
                <c:pt idx="39">
                  <c:v>29</c:v>
                </c:pt>
                <c:pt idx="40">
                  <c:v>29.5</c:v>
                </c:pt>
                <c:pt idx="41">
                  <c:v>30</c:v>
                </c:pt>
                <c:pt idx="42">
                  <c:v>30.5</c:v>
                </c:pt>
                <c:pt idx="43">
                  <c:v>31</c:v>
                </c:pt>
                <c:pt idx="44">
                  <c:v>31.5</c:v>
                </c:pt>
                <c:pt idx="45">
                  <c:v>32</c:v>
                </c:pt>
                <c:pt idx="46">
                  <c:v>32.5</c:v>
                </c:pt>
                <c:pt idx="47">
                  <c:v>33</c:v>
                </c:pt>
                <c:pt idx="48">
                  <c:v>33.5</c:v>
                </c:pt>
                <c:pt idx="49">
                  <c:v>34</c:v>
                </c:pt>
                <c:pt idx="50">
                  <c:v>34.5</c:v>
                </c:pt>
                <c:pt idx="51">
                  <c:v>35</c:v>
                </c:pt>
                <c:pt idx="52">
                  <c:v>35.5</c:v>
                </c:pt>
                <c:pt idx="53">
                  <c:v>36</c:v>
                </c:pt>
                <c:pt idx="54">
                  <c:v>36.5</c:v>
                </c:pt>
                <c:pt idx="55">
                  <c:v>37</c:v>
                </c:pt>
                <c:pt idx="56">
                  <c:v>37.5</c:v>
                </c:pt>
                <c:pt idx="57">
                  <c:v>38</c:v>
                </c:pt>
                <c:pt idx="58">
                  <c:v>38.5</c:v>
                </c:pt>
                <c:pt idx="59">
                  <c:v>39</c:v>
                </c:pt>
                <c:pt idx="60">
                  <c:v>39.5</c:v>
                </c:pt>
              </c:numCache>
            </c:numRef>
          </c:cat>
          <c:val>
            <c:numRef>
              <c:f>'ejercicio en excel'!$D$14:$D$74</c:f>
              <c:numCache>
                <c:formatCode>General</c:formatCode>
                <c:ptCount val="61"/>
                <c:pt idx="0">
                  <c:v>8.8636968238760153E-4</c:v>
                </c:pt>
                <c:pt idx="1">
                  <c:v>1.1905064839551707E-3</c:v>
                </c:pt>
                <c:pt idx="2">
                  <c:v>1.5830903165959939E-3</c:v>
                </c:pt>
                <c:pt idx="3">
                  <c:v>2.0841869628845182E-3</c:v>
                </c:pt>
                <c:pt idx="4">
                  <c:v>2.7165938467371225E-3</c:v>
                </c:pt>
                <c:pt idx="5">
                  <c:v>3.5056600987137081E-3</c:v>
                </c:pt>
                <c:pt idx="6">
                  <c:v>4.4789060589685804E-3</c:v>
                </c:pt>
                <c:pt idx="7">
                  <c:v>5.6654075483202372E-3</c:v>
                </c:pt>
                <c:pt idx="8">
                  <c:v>7.0949185692462842E-3</c:v>
                </c:pt>
                <c:pt idx="9">
                  <c:v>8.7967191960854393E-3</c:v>
                </c:pt>
                <c:pt idx="10">
                  <c:v>1.0798193302637612E-2</c:v>
                </c:pt>
                <c:pt idx="11">
                  <c:v>1.3123162954935321E-2</c:v>
                </c:pt>
                <c:pt idx="12">
                  <c:v>1.5790031660178828E-2</c:v>
                </c:pt>
                <c:pt idx="13">
                  <c:v>1.8809815475377387E-2</c:v>
                </c:pt>
                <c:pt idx="14">
                  <c:v>2.2184166935891109E-2</c:v>
                </c:pt>
                <c:pt idx="15">
                  <c:v>2.5903519133178347E-2</c:v>
                </c:pt>
                <c:pt idx="16">
                  <c:v>2.9945493127148972E-2</c:v>
                </c:pt>
                <c:pt idx="17">
                  <c:v>3.427371840956147E-2</c:v>
                </c:pt>
                <c:pt idx="18">
                  <c:v>3.8837210996642592E-2</c:v>
                </c:pt>
                <c:pt idx="19">
                  <c:v>4.3570435406510108E-2</c:v>
                </c:pt>
                <c:pt idx="20">
                  <c:v>4.8394144903828672E-2</c:v>
                </c:pt>
                <c:pt idx="21">
                  <c:v>5.3217049979750963E-2</c:v>
                </c:pt>
                <c:pt idx="22">
                  <c:v>5.7938310552296549E-2</c:v>
                </c:pt>
                <c:pt idx="23">
                  <c:v>6.2450786673352257E-2</c:v>
                </c:pt>
                <c:pt idx="24">
                  <c:v>6.6644920578359926E-2</c:v>
                </c:pt>
                <c:pt idx="25">
                  <c:v>7.0413065352859905E-2</c:v>
                </c:pt>
                <c:pt idx="26">
                  <c:v>7.3654028060664664E-2</c:v>
                </c:pt>
                <c:pt idx="27">
                  <c:v>7.6277563092104816E-2</c:v>
                </c:pt>
                <c:pt idx="28">
                  <c:v>7.8208538795091181E-2</c:v>
                </c:pt>
                <c:pt idx="29">
                  <c:v>7.9390509495402356E-2</c:v>
                </c:pt>
                <c:pt idx="30">
                  <c:v>7.9788456080286549E-2</c:v>
                </c:pt>
                <c:pt idx="31">
                  <c:v>7.9390509495402356E-2</c:v>
                </c:pt>
                <c:pt idx="32">
                  <c:v>7.8208538795091181E-2</c:v>
                </c:pt>
                <c:pt idx="33">
                  <c:v>7.6277563092104816E-2</c:v>
                </c:pt>
                <c:pt idx="34">
                  <c:v>7.3654028060664664E-2</c:v>
                </c:pt>
                <c:pt idx="35">
                  <c:v>7.0413065352859905E-2</c:v>
                </c:pt>
                <c:pt idx="36">
                  <c:v>6.6644920578359926E-2</c:v>
                </c:pt>
                <c:pt idx="37">
                  <c:v>6.2450786673352257E-2</c:v>
                </c:pt>
                <c:pt idx="38">
                  <c:v>5.7938310552296549E-2</c:v>
                </c:pt>
                <c:pt idx="39">
                  <c:v>5.3217049979750963E-2</c:v>
                </c:pt>
                <c:pt idx="40">
                  <c:v>4.8394144903828672E-2</c:v>
                </c:pt>
                <c:pt idx="41">
                  <c:v>4.3570435406510108E-2</c:v>
                </c:pt>
                <c:pt idx="42">
                  <c:v>3.8837210996642592E-2</c:v>
                </c:pt>
                <c:pt idx="43">
                  <c:v>3.427371840956147E-2</c:v>
                </c:pt>
                <c:pt idx="44">
                  <c:v>2.9945493127148972E-2</c:v>
                </c:pt>
                <c:pt idx="45">
                  <c:v>2.5903519133178347E-2</c:v>
                </c:pt>
                <c:pt idx="46">
                  <c:v>2.2184166935891109E-2</c:v>
                </c:pt>
                <c:pt idx="47">
                  <c:v>1.8809815475377387E-2</c:v>
                </c:pt>
                <c:pt idx="48">
                  <c:v>1.5790031660178828E-2</c:v>
                </c:pt>
                <c:pt idx="49">
                  <c:v>1.3123162954935321E-2</c:v>
                </c:pt>
                <c:pt idx="50">
                  <c:v>1.0798193302637612E-2</c:v>
                </c:pt>
                <c:pt idx="51">
                  <c:v>8.7967191960854393E-3</c:v>
                </c:pt>
                <c:pt idx="52">
                  <c:v>7.0949185692462842E-3</c:v>
                </c:pt>
                <c:pt idx="53">
                  <c:v>5.6654075483202372E-3</c:v>
                </c:pt>
                <c:pt idx="54">
                  <c:v>4.4789060589685804E-3</c:v>
                </c:pt>
                <c:pt idx="55">
                  <c:v>3.5056600987137081E-3</c:v>
                </c:pt>
                <c:pt idx="56">
                  <c:v>2.7165938467371225E-3</c:v>
                </c:pt>
                <c:pt idx="57">
                  <c:v>2.0841869628845182E-3</c:v>
                </c:pt>
                <c:pt idx="58">
                  <c:v>1.5830903165959939E-3</c:v>
                </c:pt>
                <c:pt idx="59">
                  <c:v>1.1905064839551707E-3</c:v>
                </c:pt>
                <c:pt idx="60">
                  <c:v>8.8636968238760153E-4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52-4E35-A9AE-C0E156DF8D06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'ejercicio en excel'!$C$14:$C$74</c:f>
              <c:numCache>
                <c:formatCode>General</c:formatCode>
                <c:ptCount val="61"/>
                <c:pt idx="0">
                  <c:v>9.5</c:v>
                </c:pt>
                <c:pt idx="1">
                  <c:v>10</c:v>
                </c:pt>
                <c:pt idx="2">
                  <c:v>10.5</c:v>
                </c:pt>
                <c:pt idx="3">
                  <c:v>11</c:v>
                </c:pt>
                <c:pt idx="4">
                  <c:v>11.5</c:v>
                </c:pt>
                <c:pt idx="5">
                  <c:v>12</c:v>
                </c:pt>
                <c:pt idx="6">
                  <c:v>12.5</c:v>
                </c:pt>
                <c:pt idx="7">
                  <c:v>13</c:v>
                </c:pt>
                <c:pt idx="8">
                  <c:v>13.5</c:v>
                </c:pt>
                <c:pt idx="9">
                  <c:v>14</c:v>
                </c:pt>
                <c:pt idx="10">
                  <c:v>14.5</c:v>
                </c:pt>
                <c:pt idx="11">
                  <c:v>15</c:v>
                </c:pt>
                <c:pt idx="12">
                  <c:v>15.5</c:v>
                </c:pt>
                <c:pt idx="13">
                  <c:v>16</c:v>
                </c:pt>
                <c:pt idx="14">
                  <c:v>16.5</c:v>
                </c:pt>
                <c:pt idx="15">
                  <c:v>17</c:v>
                </c:pt>
                <c:pt idx="16">
                  <c:v>17.5</c:v>
                </c:pt>
                <c:pt idx="17">
                  <c:v>18</c:v>
                </c:pt>
                <c:pt idx="18">
                  <c:v>18.5</c:v>
                </c:pt>
                <c:pt idx="19">
                  <c:v>19</c:v>
                </c:pt>
                <c:pt idx="20">
                  <c:v>19.5</c:v>
                </c:pt>
                <c:pt idx="21">
                  <c:v>20</c:v>
                </c:pt>
                <c:pt idx="22">
                  <c:v>20.5</c:v>
                </c:pt>
                <c:pt idx="23">
                  <c:v>21</c:v>
                </c:pt>
                <c:pt idx="24">
                  <c:v>21.5</c:v>
                </c:pt>
                <c:pt idx="25">
                  <c:v>22</c:v>
                </c:pt>
                <c:pt idx="26">
                  <c:v>22.5</c:v>
                </c:pt>
                <c:pt idx="27">
                  <c:v>23</c:v>
                </c:pt>
                <c:pt idx="28">
                  <c:v>23.5</c:v>
                </c:pt>
                <c:pt idx="29">
                  <c:v>24</c:v>
                </c:pt>
                <c:pt idx="30">
                  <c:v>24.5</c:v>
                </c:pt>
                <c:pt idx="31">
                  <c:v>25</c:v>
                </c:pt>
                <c:pt idx="32">
                  <c:v>25.5</c:v>
                </c:pt>
                <c:pt idx="33">
                  <c:v>26</c:v>
                </c:pt>
                <c:pt idx="34">
                  <c:v>26.5</c:v>
                </c:pt>
                <c:pt idx="35">
                  <c:v>27</c:v>
                </c:pt>
                <c:pt idx="36">
                  <c:v>27.5</c:v>
                </c:pt>
                <c:pt idx="37">
                  <c:v>28</c:v>
                </c:pt>
                <c:pt idx="38">
                  <c:v>28.5</c:v>
                </c:pt>
                <c:pt idx="39">
                  <c:v>29</c:v>
                </c:pt>
                <c:pt idx="40">
                  <c:v>29.5</c:v>
                </c:pt>
                <c:pt idx="41">
                  <c:v>30</c:v>
                </c:pt>
                <c:pt idx="42">
                  <c:v>30.5</c:v>
                </c:pt>
                <c:pt idx="43">
                  <c:v>31</c:v>
                </c:pt>
                <c:pt idx="44">
                  <c:v>31.5</c:v>
                </c:pt>
                <c:pt idx="45">
                  <c:v>32</c:v>
                </c:pt>
                <c:pt idx="46">
                  <c:v>32.5</c:v>
                </c:pt>
                <c:pt idx="47">
                  <c:v>33</c:v>
                </c:pt>
                <c:pt idx="48">
                  <c:v>33.5</c:v>
                </c:pt>
                <c:pt idx="49">
                  <c:v>34</c:v>
                </c:pt>
                <c:pt idx="50">
                  <c:v>34.5</c:v>
                </c:pt>
                <c:pt idx="51">
                  <c:v>35</c:v>
                </c:pt>
                <c:pt idx="52">
                  <c:v>35.5</c:v>
                </c:pt>
                <c:pt idx="53">
                  <c:v>36</c:v>
                </c:pt>
                <c:pt idx="54">
                  <c:v>36.5</c:v>
                </c:pt>
                <c:pt idx="55">
                  <c:v>37</c:v>
                </c:pt>
                <c:pt idx="56">
                  <c:v>37.5</c:v>
                </c:pt>
                <c:pt idx="57">
                  <c:v>38</c:v>
                </c:pt>
                <c:pt idx="58">
                  <c:v>38.5</c:v>
                </c:pt>
                <c:pt idx="59">
                  <c:v>39</c:v>
                </c:pt>
                <c:pt idx="60">
                  <c:v>39.5</c:v>
                </c:pt>
              </c:numCache>
            </c:numRef>
          </c:cat>
          <c:val>
            <c:numRef>
              <c:f>'ejercicio en excel'!$E$14:$E$74</c:f>
              <c:numCache>
                <c:formatCode>General</c:formatCode>
                <c:ptCount val="61"/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4.3570435406510108E-2</c:v>
                </c:pt>
                <c:pt idx="42">
                  <c:v>3.8837210996642592E-2</c:v>
                </c:pt>
                <c:pt idx="43">
                  <c:v>3.427371840956147E-2</c:v>
                </c:pt>
                <c:pt idx="44">
                  <c:v>2.9945493127148972E-2</c:v>
                </c:pt>
                <c:pt idx="45">
                  <c:v>2.5903519133178347E-2</c:v>
                </c:pt>
                <c:pt idx="46">
                  <c:v>2.2184166935891109E-2</c:v>
                </c:pt>
                <c:pt idx="47">
                  <c:v>1.8809815475377387E-2</c:v>
                </c:pt>
                <c:pt idx="48">
                  <c:v>1.5790031660178828E-2</c:v>
                </c:pt>
                <c:pt idx="49">
                  <c:v>1.3123162954935321E-2</c:v>
                </c:pt>
                <c:pt idx="50">
                  <c:v>1.0798193302637612E-2</c:v>
                </c:pt>
                <c:pt idx="51">
                  <c:v>8.7967191960854393E-3</c:v>
                </c:pt>
                <c:pt idx="52">
                  <c:v>7.0949185692462842E-3</c:v>
                </c:pt>
                <c:pt idx="53">
                  <c:v>5.6654075483202372E-3</c:v>
                </c:pt>
                <c:pt idx="54">
                  <c:v>4.4789060589685804E-3</c:v>
                </c:pt>
                <c:pt idx="55">
                  <c:v>3.5056600987137081E-3</c:v>
                </c:pt>
                <c:pt idx="56">
                  <c:v>2.7165938467371225E-3</c:v>
                </c:pt>
                <c:pt idx="57">
                  <c:v>2.0841869628845182E-3</c:v>
                </c:pt>
                <c:pt idx="58">
                  <c:v>1.5830903165959939E-3</c:v>
                </c:pt>
                <c:pt idx="59">
                  <c:v>1.1905064839551707E-3</c:v>
                </c:pt>
                <c:pt idx="60">
                  <c:v>8.8636968238760153E-4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52-4E35-A9AE-C0E156DF8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443904"/>
        <c:axId val="263655616"/>
      </c:areaChart>
      <c:catAx>
        <c:axId val="34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63655616"/>
        <c:crosses val="autoZero"/>
        <c:auto val="1"/>
        <c:lblAlgn val="ctr"/>
        <c:lblOffset val="100"/>
        <c:noMultiLvlLbl val="0"/>
      </c:catAx>
      <c:valAx>
        <c:axId val="26365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0443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chart" Target="../charts/chart3.xml"/><Relationship Id="rId5" Type="http://schemas.openxmlformats.org/officeDocument/2006/relationships/image" Target="../media/image8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179356</xdr:colOff>
      <xdr:row>19</xdr:row>
      <xdr:rowOff>129540</xdr:rowOff>
    </xdr:from>
    <xdr:to>
      <xdr:col>12</xdr:col>
      <xdr:colOff>435324</xdr:colOff>
      <xdr:row>21</xdr:row>
      <xdr:rowOff>34069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B46C49D2-C4C9-4866-BE15-A8A8AD8E9D85}"/>
            </a:ext>
          </a:extLst>
        </xdr:cNvPr>
        <xdr:cNvSpPr txBox="1"/>
      </xdr:nvSpPr>
      <xdr:spPr>
        <a:xfrm>
          <a:off x="8317516" y="3314700"/>
          <a:ext cx="255968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3</a:t>
          </a:r>
        </a:p>
      </xdr:txBody>
    </xdr:sp>
    <xdr:clientData/>
  </xdr:twoCellAnchor>
  <xdr:twoCellAnchor editAs="absolute">
    <xdr:from>
      <xdr:col>10</xdr:col>
      <xdr:colOff>494316</xdr:colOff>
      <xdr:row>19</xdr:row>
      <xdr:rowOff>129540</xdr:rowOff>
    </xdr:from>
    <xdr:to>
      <xdr:col>10</xdr:col>
      <xdr:colOff>750284</xdr:colOff>
      <xdr:row>21</xdr:row>
      <xdr:rowOff>34069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7FBED970-46D6-4C29-870E-965490E9B086}"/>
            </a:ext>
          </a:extLst>
        </xdr:cNvPr>
        <xdr:cNvSpPr txBox="1"/>
      </xdr:nvSpPr>
      <xdr:spPr>
        <a:xfrm>
          <a:off x="7047516" y="3314700"/>
          <a:ext cx="255968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2</a:t>
          </a:r>
        </a:p>
      </xdr:txBody>
    </xdr:sp>
    <xdr:clientData/>
  </xdr:twoCellAnchor>
  <xdr:twoCellAnchor editAs="absolute">
    <xdr:from>
      <xdr:col>9</xdr:col>
      <xdr:colOff>16796</xdr:colOff>
      <xdr:row>19</xdr:row>
      <xdr:rowOff>129540</xdr:rowOff>
    </xdr:from>
    <xdr:to>
      <xdr:col>9</xdr:col>
      <xdr:colOff>272764</xdr:colOff>
      <xdr:row>21</xdr:row>
      <xdr:rowOff>34069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C92BE215-B924-44C7-91C8-539172FC5B16}"/>
            </a:ext>
          </a:extLst>
        </xdr:cNvPr>
        <xdr:cNvSpPr txBox="1"/>
      </xdr:nvSpPr>
      <xdr:spPr>
        <a:xfrm>
          <a:off x="5777516" y="3314700"/>
          <a:ext cx="255968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1</a:t>
          </a:r>
        </a:p>
      </xdr:txBody>
    </xdr:sp>
    <xdr:clientData/>
  </xdr:twoCellAnchor>
  <xdr:twoCellAnchor editAs="absolute">
    <xdr:from>
      <xdr:col>7</xdr:col>
      <xdr:colOff>72676</xdr:colOff>
      <xdr:row>19</xdr:row>
      <xdr:rowOff>129540</xdr:rowOff>
    </xdr:from>
    <xdr:to>
      <xdr:col>7</xdr:col>
      <xdr:colOff>328644</xdr:colOff>
      <xdr:row>21</xdr:row>
      <xdr:rowOff>34069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50CA108D-68CF-4495-A414-C6813A16632F}"/>
            </a:ext>
          </a:extLst>
        </xdr:cNvPr>
        <xdr:cNvSpPr txBox="1"/>
      </xdr:nvSpPr>
      <xdr:spPr>
        <a:xfrm>
          <a:off x="4507516" y="3314700"/>
          <a:ext cx="255968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0</a:t>
          </a:r>
        </a:p>
      </xdr:txBody>
    </xdr:sp>
    <xdr:clientData/>
  </xdr:twoCellAnchor>
  <xdr:twoCellAnchor editAs="absolute">
    <xdr:from>
      <xdr:col>4</xdr:col>
      <xdr:colOff>381524</xdr:colOff>
      <xdr:row>19</xdr:row>
      <xdr:rowOff>129540</xdr:rowOff>
    </xdr:from>
    <xdr:to>
      <xdr:col>5</xdr:col>
      <xdr:colOff>146796</xdr:colOff>
      <xdr:row>21</xdr:row>
      <xdr:rowOff>34069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281E26C1-422D-452B-AE67-095C82CF6F11}"/>
            </a:ext>
          </a:extLst>
        </xdr:cNvPr>
        <xdr:cNvSpPr txBox="1"/>
      </xdr:nvSpPr>
      <xdr:spPr>
        <a:xfrm>
          <a:off x="3216164" y="3314700"/>
          <a:ext cx="298672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-1</a:t>
          </a:r>
        </a:p>
      </xdr:txBody>
    </xdr:sp>
    <xdr:clientData/>
  </xdr:twoCellAnchor>
  <xdr:twoCellAnchor editAs="absolute">
    <xdr:from>
      <xdr:col>2</xdr:col>
      <xdr:colOff>361204</xdr:colOff>
      <xdr:row>19</xdr:row>
      <xdr:rowOff>129540</xdr:rowOff>
    </xdr:from>
    <xdr:to>
      <xdr:col>3</xdr:col>
      <xdr:colOff>50276</xdr:colOff>
      <xdr:row>21</xdr:row>
      <xdr:rowOff>34069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265CED81-5505-48AC-BB8A-ABE082F32718}"/>
            </a:ext>
          </a:extLst>
        </xdr:cNvPr>
        <xdr:cNvSpPr txBox="1"/>
      </xdr:nvSpPr>
      <xdr:spPr>
        <a:xfrm>
          <a:off x="1946164" y="3314700"/>
          <a:ext cx="298672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-2</a:t>
          </a:r>
        </a:p>
      </xdr:txBody>
    </xdr:sp>
    <xdr:clientData/>
  </xdr:twoCellAnchor>
  <xdr:twoCellAnchor editAs="absolute">
    <xdr:from>
      <xdr:col>0</xdr:col>
      <xdr:colOff>676164</xdr:colOff>
      <xdr:row>19</xdr:row>
      <xdr:rowOff>129540</xdr:rowOff>
    </xdr:from>
    <xdr:to>
      <xdr:col>1</xdr:col>
      <xdr:colOff>182356</xdr:colOff>
      <xdr:row>21</xdr:row>
      <xdr:rowOff>34069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B2A2ED6-6002-4C68-8C24-2E5C164F052E}"/>
            </a:ext>
          </a:extLst>
        </xdr:cNvPr>
        <xdr:cNvSpPr txBox="1"/>
      </xdr:nvSpPr>
      <xdr:spPr>
        <a:xfrm>
          <a:off x="676164" y="3314700"/>
          <a:ext cx="298672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-3</a:t>
          </a:r>
        </a:p>
      </xdr:txBody>
    </xdr:sp>
    <xdr:clientData/>
  </xdr:twoCellAnchor>
  <xdr:twoCellAnchor editAs="absolute">
    <xdr:from>
      <xdr:col>0</xdr:col>
      <xdr:colOff>30977</xdr:colOff>
      <xdr:row>0</xdr:row>
      <xdr:rowOff>63500</xdr:rowOff>
    </xdr:from>
    <xdr:to>
      <xdr:col>0</xdr:col>
      <xdr:colOff>400822</xdr:colOff>
      <xdr:row>1</xdr:row>
      <xdr:rowOff>135669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7D1B2797-7426-44C3-A864-1FA8F714A54D}"/>
            </a:ext>
          </a:extLst>
        </xdr:cNvPr>
        <xdr:cNvSpPr txBox="1"/>
      </xdr:nvSpPr>
      <xdr:spPr>
        <a:xfrm>
          <a:off x="30977" y="63500"/>
          <a:ext cx="369845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f(z)</a:t>
          </a:r>
        </a:p>
      </xdr:txBody>
    </xdr:sp>
    <xdr:clientData/>
  </xdr:twoCellAnchor>
  <xdr:twoCellAnchor editAs="absolute">
    <xdr:from>
      <xdr:col>0</xdr:col>
      <xdr:colOff>91507</xdr:colOff>
      <xdr:row>19</xdr:row>
      <xdr:rowOff>129540</xdr:rowOff>
    </xdr:from>
    <xdr:to>
      <xdr:col>0</xdr:col>
      <xdr:colOff>340293</xdr:colOff>
      <xdr:row>21</xdr:row>
      <xdr:rowOff>34069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D830A8F5-6134-4BAB-B0EA-917C4DF12E70}"/>
            </a:ext>
          </a:extLst>
        </xdr:cNvPr>
        <xdr:cNvSpPr txBox="1"/>
      </xdr:nvSpPr>
      <xdr:spPr>
        <a:xfrm>
          <a:off x="91507" y="3314700"/>
          <a:ext cx="248786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z</a:t>
          </a:r>
        </a:p>
      </xdr:txBody>
    </xdr:sp>
    <xdr:clientData/>
  </xdr:twoCellAnchor>
  <xdr:twoCellAnchor editAs="absolute">
    <xdr:from>
      <xdr:col>0</xdr:col>
      <xdr:colOff>190500</xdr:colOff>
      <xdr:row>1</xdr:row>
      <xdr:rowOff>86360</xdr:rowOff>
    </xdr:from>
    <xdr:to>
      <xdr:col>13</xdr:col>
      <xdr:colOff>149861</xdr:colOff>
      <xdr:row>19</xdr:row>
      <xdr:rowOff>142241</xdr:rowOff>
    </xdr:to>
    <xdr:sp macro="" textlink="">
      <xdr:nvSpPr>
        <xdr:cNvPr id="11" name="Forma libre: forma 10">
          <a:extLst>
            <a:ext uri="{FF2B5EF4-FFF2-40B4-BE49-F238E27FC236}">
              <a16:creationId xmlns:a16="http://schemas.microsoft.com/office/drawing/2014/main" id="{4A60A5BD-9B94-4568-AA28-55354CE763C4}"/>
            </a:ext>
          </a:extLst>
        </xdr:cNvPr>
        <xdr:cNvSpPr/>
      </xdr:nvSpPr>
      <xdr:spPr>
        <a:xfrm>
          <a:off x="190500" y="254000"/>
          <a:ext cx="8890001" cy="3073401"/>
        </a:xfrm>
        <a:custGeom>
          <a:avLst/>
          <a:gdLst/>
          <a:ahLst/>
          <a:cxnLst/>
          <a:rect l="0" t="0" r="0" b="0"/>
          <a:pathLst>
            <a:path w="8890001" h="3073401">
              <a:moveTo>
                <a:pt x="8890000" y="3022600"/>
              </a:moveTo>
              <a:lnTo>
                <a:pt x="8255000" y="3022600"/>
              </a:lnTo>
              <a:lnTo>
                <a:pt x="8255000" y="3073400"/>
              </a:lnTo>
              <a:lnTo>
                <a:pt x="8255000" y="3022600"/>
              </a:lnTo>
              <a:lnTo>
                <a:pt x="6985000" y="3022600"/>
              </a:lnTo>
              <a:lnTo>
                <a:pt x="6985000" y="3073400"/>
              </a:lnTo>
              <a:lnTo>
                <a:pt x="6985000" y="3022600"/>
              </a:lnTo>
              <a:lnTo>
                <a:pt x="5715000" y="3022600"/>
              </a:lnTo>
              <a:lnTo>
                <a:pt x="5715000" y="3073400"/>
              </a:lnTo>
              <a:lnTo>
                <a:pt x="5715000" y="3022600"/>
              </a:lnTo>
              <a:lnTo>
                <a:pt x="4445000" y="3022600"/>
              </a:lnTo>
              <a:lnTo>
                <a:pt x="4445000" y="3073400"/>
              </a:lnTo>
              <a:lnTo>
                <a:pt x="4445000" y="3022600"/>
              </a:lnTo>
              <a:lnTo>
                <a:pt x="3175000" y="3022600"/>
              </a:lnTo>
              <a:lnTo>
                <a:pt x="3175000" y="3073400"/>
              </a:lnTo>
              <a:lnTo>
                <a:pt x="3175000" y="3022600"/>
              </a:lnTo>
              <a:lnTo>
                <a:pt x="1905000" y="3022600"/>
              </a:lnTo>
              <a:lnTo>
                <a:pt x="1905000" y="3073400"/>
              </a:lnTo>
              <a:lnTo>
                <a:pt x="1905000" y="3022600"/>
              </a:lnTo>
              <a:lnTo>
                <a:pt x="635000" y="3022600"/>
              </a:lnTo>
              <a:lnTo>
                <a:pt x="635000" y="3073400"/>
              </a:lnTo>
              <a:lnTo>
                <a:pt x="635000" y="3022600"/>
              </a:lnTo>
              <a:lnTo>
                <a:pt x="0" y="3022600"/>
              </a:lnTo>
              <a:lnTo>
                <a:pt x="0" y="3015988"/>
              </a:lnTo>
              <a:lnTo>
                <a:pt x="127000" y="3013264"/>
              </a:lnTo>
              <a:lnTo>
                <a:pt x="254000" y="3009549"/>
              </a:lnTo>
              <a:lnTo>
                <a:pt x="381000" y="3004537"/>
              </a:lnTo>
              <a:lnTo>
                <a:pt x="508000" y="2997849"/>
              </a:lnTo>
              <a:lnTo>
                <a:pt x="635000" y="2989022"/>
              </a:lnTo>
              <a:lnTo>
                <a:pt x="762000" y="2977500"/>
              </a:lnTo>
              <a:lnTo>
                <a:pt x="889000" y="2962628"/>
              </a:lnTo>
              <a:lnTo>
                <a:pt x="1016000" y="2943646"/>
              </a:lnTo>
              <a:lnTo>
                <a:pt x="1143000" y="2919688"/>
              </a:lnTo>
              <a:lnTo>
                <a:pt x="1270000" y="2889796"/>
              </a:lnTo>
              <a:lnTo>
                <a:pt x="1397000" y="2852927"/>
              </a:lnTo>
              <a:lnTo>
                <a:pt x="1524000" y="2807979"/>
              </a:lnTo>
              <a:lnTo>
                <a:pt x="1651000" y="2753826"/>
              </a:lnTo>
              <a:lnTo>
                <a:pt x="1778000" y="2689357"/>
              </a:lnTo>
              <a:lnTo>
                <a:pt x="1905000" y="2613536"/>
              </a:lnTo>
              <a:lnTo>
                <a:pt x="2032000" y="2525459"/>
              </a:lnTo>
              <a:lnTo>
                <a:pt x="2159000" y="2424431"/>
              </a:lnTo>
              <a:lnTo>
                <a:pt x="2286000" y="2310034"/>
              </a:lnTo>
              <a:lnTo>
                <a:pt x="2413000" y="2182204"/>
              </a:lnTo>
              <a:lnTo>
                <a:pt x="2540000" y="2041305"/>
              </a:lnTo>
              <a:lnTo>
                <a:pt x="2667000" y="1888185"/>
              </a:lnTo>
              <a:lnTo>
                <a:pt x="2794000" y="1724220"/>
              </a:lnTo>
              <a:lnTo>
                <a:pt x="2921000" y="1551343"/>
              </a:lnTo>
              <a:lnTo>
                <a:pt x="3048000" y="1372035"/>
              </a:lnTo>
              <a:lnTo>
                <a:pt x="3175000" y="1189300"/>
              </a:lnTo>
              <a:lnTo>
                <a:pt x="3302000" y="1006596"/>
              </a:lnTo>
              <a:lnTo>
                <a:pt x="3429000" y="827742"/>
              </a:lnTo>
              <a:lnTo>
                <a:pt x="3556000" y="656797"/>
              </a:lnTo>
              <a:lnTo>
                <a:pt x="3683000" y="497912"/>
              </a:lnTo>
              <a:lnTo>
                <a:pt x="3810000" y="355165"/>
              </a:lnTo>
              <a:lnTo>
                <a:pt x="3937000" y="232389"/>
              </a:lnTo>
              <a:lnTo>
                <a:pt x="4064000" y="133002"/>
              </a:lnTo>
              <a:lnTo>
                <a:pt x="4191000" y="59851"/>
              </a:lnTo>
              <a:lnTo>
                <a:pt x="4318000" y="15075"/>
              </a:lnTo>
              <a:lnTo>
                <a:pt x="4445000" y="0"/>
              </a:lnTo>
              <a:lnTo>
                <a:pt x="4572000" y="15075"/>
              </a:lnTo>
              <a:lnTo>
                <a:pt x="4699000" y="59851"/>
              </a:lnTo>
              <a:lnTo>
                <a:pt x="4826000" y="133002"/>
              </a:lnTo>
              <a:lnTo>
                <a:pt x="4953000" y="232389"/>
              </a:lnTo>
              <a:lnTo>
                <a:pt x="5080000" y="355165"/>
              </a:lnTo>
              <a:lnTo>
                <a:pt x="5207000" y="497912"/>
              </a:lnTo>
              <a:lnTo>
                <a:pt x="5334000" y="656797"/>
              </a:lnTo>
              <a:lnTo>
                <a:pt x="5461000" y="827742"/>
              </a:lnTo>
              <a:lnTo>
                <a:pt x="5588000" y="1006596"/>
              </a:lnTo>
              <a:lnTo>
                <a:pt x="5715000" y="1189300"/>
              </a:lnTo>
              <a:lnTo>
                <a:pt x="5842000" y="1372035"/>
              </a:lnTo>
              <a:lnTo>
                <a:pt x="5969000" y="1551343"/>
              </a:lnTo>
              <a:lnTo>
                <a:pt x="6096000" y="1724220"/>
              </a:lnTo>
              <a:lnTo>
                <a:pt x="6223000" y="1888185"/>
              </a:lnTo>
              <a:lnTo>
                <a:pt x="6350000" y="2041305"/>
              </a:lnTo>
              <a:lnTo>
                <a:pt x="6477000" y="2182204"/>
              </a:lnTo>
              <a:lnTo>
                <a:pt x="6604000" y="2310034"/>
              </a:lnTo>
              <a:lnTo>
                <a:pt x="6731000" y="2424431"/>
              </a:lnTo>
              <a:lnTo>
                <a:pt x="6858000" y="2525459"/>
              </a:lnTo>
              <a:lnTo>
                <a:pt x="6985000" y="2613536"/>
              </a:lnTo>
              <a:lnTo>
                <a:pt x="7112000" y="2689357"/>
              </a:lnTo>
              <a:lnTo>
                <a:pt x="7239000" y="2753826"/>
              </a:lnTo>
              <a:lnTo>
                <a:pt x="7366000" y="2807979"/>
              </a:lnTo>
              <a:lnTo>
                <a:pt x="7493000" y="2852927"/>
              </a:lnTo>
              <a:lnTo>
                <a:pt x="7620000" y="2889796"/>
              </a:lnTo>
              <a:lnTo>
                <a:pt x="7747000" y="2919688"/>
              </a:lnTo>
              <a:lnTo>
                <a:pt x="7874000" y="2943646"/>
              </a:lnTo>
              <a:lnTo>
                <a:pt x="8001000" y="2962628"/>
              </a:lnTo>
              <a:lnTo>
                <a:pt x="8128000" y="2977500"/>
              </a:lnTo>
              <a:lnTo>
                <a:pt x="8255000" y="2989022"/>
              </a:lnTo>
              <a:lnTo>
                <a:pt x="8382000" y="2997849"/>
              </a:lnTo>
              <a:lnTo>
                <a:pt x="8509000" y="3004537"/>
              </a:lnTo>
              <a:lnTo>
                <a:pt x="8636000" y="3009549"/>
              </a:lnTo>
              <a:lnTo>
                <a:pt x="8763000" y="3013264"/>
              </a:lnTo>
              <a:lnTo>
                <a:pt x="8890000" y="3015988"/>
              </a:lnTo>
            </a:path>
          </a:pathLst>
        </a:custGeom>
        <a:solidFill>
          <a:srgbClr val="F8F8F8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 editAs="absolute">
    <xdr:from>
      <xdr:col>0</xdr:col>
      <xdr:colOff>190500</xdr:colOff>
      <xdr:row>1</xdr:row>
      <xdr:rowOff>86360</xdr:rowOff>
    </xdr:from>
    <xdr:to>
      <xdr:col>0</xdr:col>
      <xdr:colOff>190500</xdr:colOff>
      <xdr:row>19</xdr:row>
      <xdr:rowOff>91440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CD04F52B-AFD7-4962-8050-4C389C58B2DE}"/>
            </a:ext>
          </a:extLst>
        </xdr:cNvPr>
        <xdr:cNvCxnSpPr/>
      </xdr:nvCxnSpPr>
      <xdr:spPr>
        <a:xfrm flipV="1">
          <a:off x="190500" y="254000"/>
          <a:ext cx="0" cy="3022600"/>
        </a:xfrm>
        <a:prstGeom prst="line">
          <a:avLst/>
        </a:prstGeom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190500</xdr:colOff>
      <xdr:row>2</xdr:row>
      <xdr:rowOff>60961</xdr:rowOff>
    </xdr:from>
    <xdr:to>
      <xdr:col>6</xdr:col>
      <xdr:colOff>380999</xdr:colOff>
      <xdr:row>21</xdr:row>
      <xdr:rowOff>10161</xdr:rowOff>
    </xdr:to>
    <xdr:sp macro="" textlink="">
      <xdr:nvSpPr>
        <xdr:cNvPr id="13" name="Forma libre: forma 12">
          <a:extLst>
            <a:ext uri="{FF2B5EF4-FFF2-40B4-BE49-F238E27FC236}">
              <a16:creationId xmlns:a16="http://schemas.microsoft.com/office/drawing/2014/main" id="{6E7F1FB5-FFF5-456A-9225-6FA2316954A9}"/>
            </a:ext>
          </a:extLst>
        </xdr:cNvPr>
        <xdr:cNvSpPr/>
      </xdr:nvSpPr>
      <xdr:spPr>
        <a:xfrm>
          <a:off x="190500" y="396241"/>
          <a:ext cx="4091939" cy="3134360"/>
        </a:xfrm>
        <a:custGeom>
          <a:avLst/>
          <a:gdLst/>
          <a:ahLst/>
          <a:cxnLst/>
          <a:rect l="0" t="0" r="0" b="0"/>
          <a:pathLst>
            <a:path w="4191001" h="3216750">
              <a:moveTo>
                <a:pt x="4191000" y="2962749"/>
              </a:moveTo>
              <a:lnTo>
                <a:pt x="0" y="2962749"/>
              </a:lnTo>
              <a:lnTo>
                <a:pt x="0" y="2956137"/>
              </a:lnTo>
              <a:lnTo>
                <a:pt x="127000" y="2953413"/>
              </a:lnTo>
              <a:lnTo>
                <a:pt x="254000" y="2949698"/>
              </a:lnTo>
              <a:lnTo>
                <a:pt x="381000" y="2944686"/>
              </a:lnTo>
              <a:lnTo>
                <a:pt x="508000" y="2937998"/>
              </a:lnTo>
              <a:lnTo>
                <a:pt x="635000" y="2929171"/>
              </a:lnTo>
              <a:lnTo>
                <a:pt x="762000" y="2917649"/>
              </a:lnTo>
              <a:lnTo>
                <a:pt x="889000" y="2902777"/>
              </a:lnTo>
              <a:lnTo>
                <a:pt x="1016000" y="2883795"/>
              </a:lnTo>
              <a:lnTo>
                <a:pt x="1143000" y="2859837"/>
              </a:lnTo>
              <a:lnTo>
                <a:pt x="1270000" y="2829945"/>
              </a:lnTo>
              <a:lnTo>
                <a:pt x="1397000" y="2793076"/>
              </a:lnTo>
              <a:lnTo>
                <a:pt x="1524000" y="2748128"/>
              </a:lnTo>
              <a:lnTo>
                <a:pt x="1651000" y="2693975"/>
              </a:lnTo>
              <a:lnTo>
                <a:pt x="1778000" y="2629506"/>
              </a:lnTo>
              <a:lnTo>
                <a:pt x="1905000" y="2553685"/>
              </a:lnTo>
              <a:lnTo>
                <a:pt x="2032000" y="2465608"/>
              </a:lnTo>
              <a:lnTo>
                <a:pt x="2159000" y="2364580"/>
              </a:lnTo>
              <a:lnTo>
                <a:pt x="2286000" y="2250183"/>
              </a:lnTo>
              <a:lnTo>
                <a:pt x="2413000" y="2122353"/>
              </a:lnTo>
              <a:lnTo>
                <a:pt x="2540000" y="1981454"/>
              </a:lnTo>
              <a:lnTo>
                <a:pt x="2667000" y="1828334"/>
              </a:lnTo>
              <a:lnTo>
                <a:pt x="2794000" y="1664369"/>
              </a:lnTo>
              <a:lnTo>
                <a:pt x="2921000" y="1491492"/>
              </a:lnTo>
              <a:lnTo>
                <a:pt x="3048000" y="1312184"/>
              </a:lnTo>
              <a:lnTo>
                <a:pt x="3175000" y="1129449"/>
              </a:lnTo>
              <a:lnTo>
                <a:pt x="3302000" y="946745"/>
              </a:lnTo>
              <a:lnTo>
                <a:pt x="3429000" y="767891"/>
              </a:lnTo>
              <a:lnTo>
                <a:pt x="3556000" y="596946"/>
              </a:lnTo>
              <a:lnTo>
                <a:pt x="3683000" y="438061"/>
              </a:lnTo>
              <a:lnTo>
                <a:pt x="3810000" y="295314"/>
              </a:lnTo>
              <a:lnTo>
                <a:pt x="3937000" y="172538"/>
              </a:lnTo>
              <a:lnTo>
                <a:pt x="4064000" y="73151"/>
              </a:lnTo>
              <a:lnTo>
                <a:pt x="4191000" y="0"/>
              </a:lnTo>
              <a:lnTo>
                <a:pt x="4191000" y="3216749"/>
              </a:lnTo>
              <a:close/>
            </a:path>
          </a:pathLst>
        </a:custGeom>
        <a:solidFill>
          <a:schemeClr val="accent2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 editAs="absolute">
    <xdr:from>
      <xdr:col>6</xdr:col>
      <xdr:colOff>241597</xdr:colOff>
      <xdr:row>21</xdr:row>
      <xdr:rowOff>10160</xdr:rowOff>
    </xdr:from>
    <xdr:to>
      <xdr:col>7</xdr:col>
      <xdr:colOff>185122</xdr:colOff>
      <xdr:row>22</xdr:row>
      <xdr:rowOff>82329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12353507-AB64-453C-BC6E-08E444877C57}"/>
            </a:ext>
          </a:extLst>
        </xdr:cNvPr>
        <xdr:cNvSpPr txBox="1"/>
      </xdr:nvSpPr>
      <xdr:spPr>
        <a:xfrm>
          <a:off x="4143037" y="3530600"/>
          <a:ext cx="476925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solidFill>
            <a:schemeClr val="lt1">
              <a:shade val="50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-0.20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292</xdr:row>
      <xdr:rowOff>0</xdr:rowOff>
    </xdr:from>
    <xdr:to>
      <xdr:col>8</xdr:col>
      <xdr:colOff>685800</xdr:colOff>
      <xdr:row>306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338D643-B099-47B8-8F15-2466200A2F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367147</xdr:colOff>
      <xdr:row>12</xdr:row>
      <xdr:rowOff>138520</xdr:rowOff>
    </xdr:from>
    <xdr:to>
      <xdr:col>10</xdr:col>
      <xdr:colOff>623454</xdr:colOff>
      <xdr:row>27</xdr:row>
      <xdr:rowOff>180084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5986677-FA3E-4604-86D9-D48D8ABFBF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647582</xdr:colOff>
      <xdr:row>115</xdr:row>
      <xdr:rowOff>159328</xdr:rowOff>
    </xdr:from>
    <xdr:to>
      <xdr:col>11</xdr:col>
      <xdr:colOff>216039</xdr:colOff>
      <xdr:row>124</xdr:row>
      <xdr:rowOff>59672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CD4F0FE-22C8-4642-8D47-560CCF687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H="1">
          <a:off x="5219582" y="21398346"/>
          <a:ext cx="3239912" cy="1590599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122</xdr:row>
      <xdr:rowOff>0</xdr:rowOff>
    </xdr:from>
    <xdr:to>
      <xdr:col>6</xdr:col>
      <xdr:colOff>394856</xdr:colOff>
      <xdr:row>128</xdr:row>
      <xdr:rowOff>110137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800AA98-69E7-4070-AD35-06601C34A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39092" y="22569055"/>
          <a:ext cx="3927764" cy="11907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489613</xdr:colOff>
      <xdr:row>14</xdr:row>
      <xdr:rowOff>99060</xdr:rowOff>
    </xdr:from>
    <xdr:to>
      <xdr:col>5</xdr:col>
      <xdr:colOff>632460</xdr:colOff>
      <xdr:row>22</xdr:row>
      <xdr:rowOff>35318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856759-0F55-4B59-97E3-17FF61EE7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613" y="2720340"/>
          <a:ext cx="4105247" cy="1399298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114300</xdr:rowOff>
    </xdr:from>
    <xdr:to>
      <xdr:col>12</xdr:col>
      <xdr:colOff>15240</xdr:colOff>
      <xdr:row>15</xdr:row>
      <xdr:rowOff>106680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E952896-4801-4976-903B-F6E9EFB41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54880" y="845820"/>
          <a:ext cx="4770120" cy="2065020"/>
        </a:xfrm>
        <a:prstGeom prst="rect">
          <a:avLst/>
        </a:prstGeom>
      </xdr:spPr>
    </xdr:pic>
    <xdr:clientData/>
  </xdr:twoCellAnchor>
  <xdr:twoCellAnchor editAs="oneCell">
    <xdr:from>
      <xdr:col>6</xdr:col>
      <xdr:colOff>179782</xdr:colOff>
      <xdr:row>23</xdr:row>
      <xdr:rowOff>137160</xdr:rowOff>
    </xdr:from>
    <xdr:to>
      <xdr:col>12</xdr:col>
      <xdr:colOff>639578</xdr:colOff>
      <xdr:row>29</xdr:row>
      <xdr:rowOff>160020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9CBAB13-02D4-499A-9530-9C550F096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34662" y="4404360"/>
          <a:ext cx="5214676" cy="11201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292</xdr:row>
      <xdr:rowOff>0</xdr:rowOff>
    </xdr:from>
    <xdr:to>
      <xdr:col>8</xdr:col>
      <xdr:colOff>685800</xdr:colOff>
      <xdr:row>306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335973</xdr:colOff>
      <xdr:row>2</xdr:row>
      <xdr:rowOff>135082</xdr:rowOff>
    </xdr:from>
    <xdr:to>
      <xdr:col>9</xdr:col>
      <xdr:colOff>335973</xdr:colOff>
      <xdr:row>9</xdr:row>
      <xdr:rowOff>144607</xdr:rowOff>
    </xdr:to>
    <xdr:pic>
      <xdr:nvPicPr>
        <xdr:cNvPr id="4" name="Imagen 3" descr="D:\Usuarios\Johan\Pictures\índicegauss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37"/>
        <a:stretch/>
      </xdr:blipFill>
      <xdr:spPr bwMode="auto">
        <a:xfrm>
          <a:off x="4085359" y="628650"/>
          <a:ext cx="2874819" cy="147291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163830</xdr:colOff>
      <xdr:row>5</xdr:row>
      <xdr:rowOff>51435</xdr:rowOff>
    </xdr:from>
    <xdr:to>
      <xdr:col>5</xdr:col>
      <xdr:colOff>423123</xdr:colOff>
      <xdr:row>6</xdr:row>
      <xdr:rowOff>59075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85F2559-92CF-42A7-900C-169AE0F27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54505" y="1108710"/>
          <a:ext cx="2402418" cy="245765"/>
        </a:xfrm>
        <a:prstGeom prst="rect">
          <a:avLst/>
        </a:prstGeom>
        <a:ln w="38100">
          <a:solidFill>
            <a:srgbClr val="00B0F0"/>
          </a:solidFill>
        </a:ln>
      </xdr:spPr>
    </xdr:pic>
    <xdr:clientData/>
  </xdr:twoCellAnchor>
  <xdr:twoCellAnchor>
    <xdr:from>
      <xdr:col>5</xdr:col>
      <xdr:colOff>367147</xdr:colOff>
      <xdr:row>12</xdr:row>
      <xdr:rowOff>138520</xdr:rowOff>
    </xdr:from>
    <xdr:to>
      <xdr:col>10</xdr:col>
      <xdr:colOff>623454</xdr:colOff>
      <xdr:row>27</xdr:row>
      <xdr:rowOff>180084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7DE2361-7E61-4CA9-98C2-B95F389E0D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76</xdr:row>
      <xdr:rowOff>0</xdr:rowOff>
    </xdr:from>
    <xdr:to>
      <xdr:col>8</xdr:col>
      <xdr:colOff>398549</xdr:colOff>
      <xdr:row>89</xdr:row>
      <xdr:rowOff>32212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CBAA080-244D-45B7-8D2F-FE8DF6597DC3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39091" y="13937673"/>
          <a:ext cx="5400040" cy="23736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3F8A1-ABBE-45AA-9B99-35563FD06FFB}">
  <dimension ref="A1:H32"/>
  <sheetViews>
    <sheetView showGridLines="0" topLeftCell="A6" workbookViewId="0">
      <selection activeCell="N28" sqref="N28:N33"/>
    </sheetView>
  </sheetViews>
  <sheetFormatPr baseColWidth="10" defaultRowHeight="13.2" x14ac:dyDescent="0.25"/>
  <cols>
    <col min="1" max="2" width="11.5546875" style="25"/>
    <col min="3" max="3" width="8.88671875" style="25" bestFit="1" customWidth="1"/>
    <col min="4" max="4" width="9.33203125" style="25" bestFit="1" customWidth="1"/>
    <col min="5" max="8" width="7.77734375" style="25" customWidth="1"/>
    <col min="9" max="16384" width="11.5546875" style="25"/>
  </cols>
  <sheetData>
    <row r="1" spans="1:5" x14ac:dyDescent="0.25">
      <c r="A1" s="25" t="s">
        <v>9</v>
      </c>
    </row>
    <row r="11" spans="1:5" x14ac:dyDescent="0.25">
      <c r="E11" s="26">
        <v>2</v>
      </c>
    </row>
    <row r="25" spans="1:8" ht="15" x14ac:dyDescent="0.25">
      <c r="A25" s="27" t="s">
        <v>15</v>
      </c>
    </row>
    <row r="26" spans="1:8" x14ac:dyDescent="0.25">
      <c r="C26" s="28" t="s">
        <v>16</v>
      </c>
      <c r="D26" s="28" t="s">
        <v>17</v>
      </c>
      <c r="E26" s="29" t="s">
        <v>18</v>
      </c>
      <c r="F26" s="29" t="s">
        <v>19</v>
      </c>
      <c r="G26" s="29" t="s">
        <v>20</v>
      </c>
      <c r="H26" s="29" t="s">
        <v>21</v>
      </c>
    </row>
    <row r="27" spans="1:8" x14ac:dyDescent="0.25">
      <c r="C27" s="33">
        <v>0.42074029056089696</v>
      </c>
      <c r="D27" s="30">
        <v>0.57925970943910299</v>
      </c>
      <c r="E27" s="31">
        <v>-0.2</v>
      </c>
      <c r="F27" s="32">
        <v>990</v>
      </c>
      <c r="G27" s="32">
        <v>1000</v>
      </c>
      <c r="H27" s="32">
        <v>50</v>
      </c>
    </row>
    <row r="28" spans="1:8" x14ac:dyDescent="0.25">
      <c r="C28" s="28"/>
      <c r="D28" s="28"/>
      <c r="E28" s="29"/>
      <c r="F28" s="29"/>
      <c r="G28" s="29"/>
      <c r="H28" s="29"/>
    </row>
    <row r="29" spans="1:8" x14ac:dyDescent="0.25">
      <c r="C29" s="28"/>
      <c r="D29" s="28"/>
      <c r="E29" s="29"/>
      <c r="F29" s="29"/>
      <c r="G29" s="29"/>
      <c r="H29" s="29"/>
    </row>
    <row r="30" spans="1:8" x14ac:dyDescent="0.25">
      <c r="C30" s="28"/>
      <c r="D30" s="28"/>
      <c r="E30" s="29"/>
      <c r="F30" s="29"/>
      <c r="G30" s="29"/>
      <c r="H30" s="29"/>
    </row>
    <row r="31" spans="1:8" x14ac:dyDescent="0.25">
      <c r="C31" s="28"/>
      <c r="D31" s="28"/>
      <c r="E31" s="29"/>
      <c r="F31" s="29"/>
      <c r="G31" s="29"/>
      <c r="H31" s="29"/>
    </row>
    <row r="32" spans="1:8" x14ac:dyDescent="0.25">
      <c r="C32" s="28"/>
      <c r="D32" s="28"/>
      <c r="E32" s="29"/>
      <c r="F32" s="29"/>
      <c r="G32" s="29"/>
      <c r="H32" s="2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83747-0C39-4928-85B1-9FFB3A600E11}">
  <dimension ref="A1:N313"/>
  <sheetViews>
    <sheetView topLeftCell="B111" zoomScale="110" workbookViewId="0">
      <selection activeCell="B112" sqref="B112:P127"/>
    </sheetView>
  </sheetViews>
  <sheetFormatPr baseColWidth="10" defaultRowHeight="14.4" x14ac:dyDescent="0.3"/>
  <cols>
    <col min="1" max="1" width="15.109375" customWidth="1"/>
    <col min="2" max="2" width="8.6640625" customWidth="1"/>
    <col min="3" max="15" width="10.6640625" customWidth="1"/>
  </cols>
  <sheetData>
    <row r="1" spans="1:14" ht="19.5" hidden="1" customHeight="1" x14ac:dyDescent="0.3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t="s">
        <v>5</v>
      </c>
    </row>
    <row r="2" spans="1:14" ht="18.75" hidden="1" customHeight="1" x14ac:dyDescent="0.35">
      <c r="A2" s="34" t="s">
        <v>4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4" hidden="1" x14ac:dyDescent="0.3"/>
    <row r="4" spans="1:14" hidden="1" x14ac:dyDescent="0.3">
      <c r="K4" t="s">
        <v>7</v>
      </c>
    </row>
    <row r="5" spans="1:14" hidden="1" x14ac:dyDescent="0.3"/>
    <row r="6" spans="1:14" ht="18" hidden="1" x14ac:dyDescent="0.35">
      <c r="A6" s="4" t="s">
        <v>1</v>
      </c>
      <c r="B6" s="1">
        <v>24.5</v>
      </c>
      <c r="C6" s="1"/>
      <c r="D6" s="1"/>
      <c r="E6" s="1"/>
      <c r="F6" s="1"/>
      <c r="G6" s="1"/>
      <c r="H6" s="1"/>
      <c r="I6" s="1"/>
      <c r="J6" s="1"/>
    </row>
    <row r="7" spans="1:14" ht="18.600000000000001" hidden="1" thickBot="1" x14ac:dyDescent="0.4">
      <c r="A7" s="5" t="s">
        <v>2</v>
      </c>
      <c r="B7" s="1">
        <v>5</v>
      </c>
      <c r="C7" s="1"/>
      <c r="D7" s="1"/>
      <c r="E7" s="1"/>
      <c r="F7" s="1"/>
      <c r="G7" s="1"/>
      <c r="H7" s="1"/>
      <c r="I7" s="1"/>
      <c r="J7" s="1"/>
    </row>
    <row r="8" spans="1:14" ht="16.2" hidden="1" thickBot="1" x14ac:dyDescent="0.35">
      <c r="A8" s="6" t="s">
        <v>3</v>
      </c>
      <c r="B8" s="1">
        <v>30</v>
      </c>
      <c r="C8" s="10">
        <f>_xlfn.NORM.DIST(B8,B6,B7,TRUE)</f>
        <v>0.86433393905361733</v>
      </c>
      <c r="D8" s="9">
        <f>1-C8</f>
        <v>0.13566606094638267</v>
      </c>
    </row>
    <row r="9" spans="1:14" hidden="1" x14ac:dyDescent="0.3">
      <c r="B9" s="2"/>
      <c r="C9" s="7"/>
    </row>
    <row r="10" spans="1:14" hidden="1" x14ac:dyDescent="0.3">
      <c r="B10" s="1"/>
      <c r="C10" s="1"/>
      <c r="G10" s="1"/>
      <c r="H10" s="1"/>
    </row>
    <row r="11" spans="1:14" hidden="1" x14ac:dyDescent="0.3">
      <c r="A11" s="1" t="s">
        <v>6</v>
      </c>
      <c r="B11" s="3"/>
      <c r="C11" s="1"/>
      <c r="F11" s="8">
        <f>H11-(B7*3)</f>
        <v>9.5</v>
      </c>
      <c r="G11" s="8"/>
      <c r="H11" s="8">
        <v>24.5</v>
      </c>
      <c r="I11" s="8"/>
      <c r="J11" s="8">
        <f>H11+(3*B7)</f>
        <v>39.5</v>
      </c>
    </row>
    <row r="12" spans="1:14" hidden="1" x14ac:dyDescent="0.3">
      <c r="A12" s="1"/>
      <c r="B12" s="1"/>
      <c r="C12" s="1"/>
      <c r="G12" s="1"/>
      <c r="H12" s="1"/>
    </row>
    <row r="13" spans="1:14" hidden="1" x14ac:dyDescent="0.3">
      <c r="A13" s="1"/>
      <c r="B13" s="1"/>
      <c r="C13" s="1"/>
      <c r="G13" s="1"/>
      <c r="H13" s="1"/>
    </row>
    <row r="14" spans="1:14" hidden="1" x14ac:dyDescent="0.3">
      <c r="A14" s="1"/>
      <c r="B14" s="3"/>
      <c r="C14" s="1">
        <v>9.5</v>
      </c>
      <c r="D14">
        <f>_xlfn.NORM.DIST(C14,$B$6,$B$7,FALSE)</f>
        <v>8.8636968238760153E-4</v>
      </c>
      <c r="G14" s="1"/>
      <c r="H14" s="1"/>
    </row>
    <row r="15" spans="1:14" hidden="1" x14ac:dyDescent="0.3">
      <c r="A15" s="1"/>
      <c r="B15" s="1"/>
      <c r="C15" s="1">
        <v>10</v>
      </c>
      <c r="D15">
        <f t="shared" ref="D15:D74" si="0">_xlfn.NORM.DIST(C15,$B$6,$B$7,FALSE)</f>
        <v>1.1905064839551707E-3</v>
      </c>
      <c r="G15" s="1"/>
      <c r="H15" s="1"/>
    </row>
    <row r="16" spans="1:14" hidden="1" x14ac:dyDescent="0.3">
      <c r="A16" s="1"/>
      <c r="B16" s="1"/>
      <c r="C16" s="1">
        <v>10.5</v>
      </c>
      <c r="D16">
        <f t="shared" si="0"/>
        <v>1.5830903165959939E-3</v>
      </c>
      <c r="G16" s="1"/>
      <c r="H16" s="1"/>
    </row>
    <row r="17" spans="1:8" hidden="1" x14ac:dyDescent="0.3">
      <c r="A17" s="1"/>
      <c r="B17" s="3"/>
      <c r="C17" s="1">
        <v>11</v>
      </c>
      <c r="D17">
        <f t="shared" si="0"/>
        <v>2.0841869628845182E-3</v>
      </c>
      <c r="G17" s="1"/>
      <c r="H17" s="1"/>
    </row>
    <row r="18" spans="1:8" hidden="1" x14ac:dyDescent="0.3">
      <c r="A18" s="1"/>
      <c r="B18" s="1"/>
      <c r="C18" s="1">
        <v>11.5</v>
      </c>
      <c r="D18">
        <f t="shared" si="0"/>
        <v>2.7165938467371225E-3</v>
      </c>
      <c r="G18" s="1"/>
      <c r="H18" s="1"/>
    </row>
    <row r="19" spans="1:8" hidden="1" x14ac:dyDescent="0.3">
      <c r="A19" s="1"/>
      <c r="B19" s="1"/>
      <c r="C19" s="1">
        <v>12</v>
      </c>
      <c r="D19">
        <f t="shared" si="0"/>
        <v>3.5056600987137081E-3</v>
      </c>
      <c r="G19" s="1"/>
      <c r="H19" s="1"/>
    </row>
    <row r="20" spans="1:8" hidden="1" x14ac:dyDescent="0.3">
      <c r="A20" s="1"/>
      <c r="B20" s="3"/>
      <c r="C20" s="1">
        <v>12.5</v>
      </c>
      <c r="D20">
        <f t="shared" si="0"/>
        <v>4.4789060589685804E-3</v>
      </c>
      <c r="G20" s="1"/>
      <c r="H20" s="1"/>
    </row>
    <row r="21" spans="1:8" hidden="1" x14ac:dyDescent="0.3">
      <c r="A21" s="1"/>
      <c r="B21" s="1"/>
      <c r="C21" s="1">
        <v>13</v>
      </c>
      <c r="D21">
        <f t="shared" si="0"/>
        <v>5.6654075483202372E-3</v>
      </c>
      <c r="G21" s="1"/>
      <c r="H21" s="1"/>
    </row>
    <row r="22" spans="1:8" hidden="1" x14ac:dyDescent="0.3">
      <c r="A22" s="1"/>
      <c r="B22" s="1"/>
      <c r="C22" s="1">
        <v>13.5</v>
      </c>
      <c r="D22">
        <f t="shared" si="0"/>
        <v>7.0949185692462842E-3</v>
      </c>
      <c r="G22" s="1"/>
      <c r="H22" s="1"/>
    </row>
    <row r="23" spans="1:8" hidden="1" x14ac:dyDescent="0.3">
      <c r="A23" s="1"/>
      <c r="B23" s="3"/>
      <c r="C23" s="1">
        <v>14</v>
      </c>
      <c r="D23">
        <f t="shared" si="0"/>
        <v>8.7967191960854393E-3</v>
      </c>
      <c r="G23" s="1"/>
      <c r="H23" s="1"/>
    </row>
    <row r="24" spans="1:8" hidden="1" x14ac:dyDescent="0.3">
      <c r="A24" s="1"/>
      <c r="B24" s="1"/>
      <c r="C24" s="1">
        <v>14.5</v>
      </c>
      <c r="D24">
        <f t="shared" si="0"/>
        <v>1.0798193302637612E-2</v>
      </c>
      <c r="G24" s="1"/>
      <c r="H24" s="1"/>
    </row>
    <row r="25" spans="1:8" hidden="1" x14ac:dyDescent="0.3">
      <c r="A25" s="1"/>
      <c r="B25" s="1"/>
      <c r="C25" s="1">
        <v>15</v>
      </c>
      <c r="D25">
        <f t="shared" si="0"/>
        <v>1.3123162954935321E-2</v>
      </c>
      <c r="G25" s="1"/>
      <c r="H25" s="1"/>
    </row>
    <row r="26" spans="1:8" hidden="1" x14ac:dyDescent="0.3">
      <c r="A26" s="1"/>
      <c r="B26" s="3"/>
      <c r="C26" s="1">
        <v>15.5</v>
      </c>
      <c r="D26">
        <f t="shared" si="0"/>
        <v>1.5790031660178828E-2</v>
      </c>
      <c r="G26" s="1"/>
      <c r="H26" s="1"/>
    </row>
    <row r="27" spans="1:8" hidden="1" x14ac:dyDescent="0.3">
      <c r="A27" s="1"/>
      <c r="B27" s="1"/>
      <c r="C27" s="1">
        <v>16</v>
      </c>
      <c r="D27">
        <f t="shared" si="0"/>
        <v>1.8809815475377387E-2</v>
      </c>
      <c r="G27" s="1"/>
      <c r="H27" s="1"/>
    </row>
    <row r="28" spans="1:8" hidden="1" x14ac:dyDescent="0.3">
      <c r="A28" s="1"/>
      <c r="B28" s="1"/>
      <c r="C28" s="1">
        <v>16.5</v>
      </c>
      <c r="D28">
        <f t="shared" si="0"/>
        <v>2.2184166935891109E-2</v>
      </c>
      <c r="G28" s="1"/>
      <c r="H28" s="1"/>
    </row>
    <row r="29" spans="1:8" hidden="1" x14ac:dyDescent="0.3">
      <c r="A29" s="1"/>
      <c r="B29" s="3"/>
      <c r="C29" s="1">
        <v>17</v>
      </c>
      <c r="D29">
        <f t="shared" si="0"/>
        <v>2.5903519133178347E-2</v>
      </c>
      <c r="G29" s="1"/>
      <c r="H29" s="1"/>
    </row>
    <row r="30" spans="1:8" hidden="1" x14ac:dyDescent="0.3">
      <c r="A30" s="1"/>
      <c r="B30" s="1"/>
      <c r="C30" s="1">
        <v>17.5</v>
      </c>
      <c r="D30">
        <f t="shared" si="0"/>
        <v>2.9945493127148972E-2</v>
      </c>
      <c r="G30" s="1"/>
      <c r="H30" s="1"/>
    </row>
    <row r="31" spans="1:8" hidden="1" x14ac:dyDescent="0.3">
      <c r="A31" s="1"/>
      <c r="B31" s="1"/>
      <c r="C31" s="1">
        <v>18</v>
      </c>
      <c r="D31">
        <f t="shared" si="0"/>
        <v>3.427371840956147E-2</v>
      </c>
      <c r="G31" s="1"/>
      <c r="H31" s="1"/>
    </row>
    <row r="32" spans="1:8" hidden="1" x14ac:dyDescent="0.3">
      <c r="A32" s="1"/>
      <c r="B32" s="3"/>
      <c r="C32" s="1">
        <v>18.5</v>
      </c>
      <c r="D32">
        <f t="shared" si="0"/>
        <v>3.8837210996642592E-2</v>
      </c>
      <c r="E32" t="s">
        <v>8</v>
      </c>
      <c r="G32" s="1"/>
      <c r="H32" s="1"/>
    </row>
    <row r="33" spans="1:8" hidden="1" x14ac:dyDescent="0.3">
      <c r="A33" s="1"/>
      <c r="B33" s="1"/>
      <c r="C33" s="1">
        <v>19</v>
      </c>
      <c r="D33">
        <f t="shared" si="0"/>
        <v>4.3570435406510108E-2</v>
      </c>
      <c r="E33" t="s">
        <v>9</v>
      </c>
      <c r="G33" s="1"/>
      <c r="H33" s="1"/>
    </row>
    <row r="34" spans="1:8" hidden="1" x14ac:dyDescent="0.3">
      <c r="A34" s="1"/>
      <c r="B34" s="1"/>
      <c r="C34" s="1">
        <v>19.5</v>
      </c>
      <c r="D34">
        <f t="shared" si="0"/>
        <v>4.8394144903828672E-2</v>
      </c>
      <c r="E34" t="s">
        <v>9</v>
      </c>
      <c r="G34" s="1"/>
      <c r="H34" s="1"/>
    </row>
    <row r="35" spans="1:8" hidden="1" x14ac:dyDescent="0.3">
      <c r="A35" s="1"/>
      <c r="B35" s="3"/>
      <c r="C35" s="1">
        <v>20</v>
      </c>
      <c r="D35">
        <f t="shared" si="0"/>
        <v>5.3217049979750963E-2</v>
      </c>
      <c r="E35" t="s">
        <v>9</v>
      </c>
      <c r="G35" s="1"/>
      <c r="H35" s="1"/>
    </row>
    <row r="36" spans="1:8" hidden="1" x14ac:dyDescent="0.3">
      <c r="A36" s="1"/>
      <c r="B36" s="1"/>
      <c r="C36" s="1">
        <v>20.5</v>
      </c>
      <c r="D36">
        <f t="shared" si="0"/>
        <v>5.7938310552296549E-2</v>
      </c>
      <c r="E36" t="s">
        <v>9</v>
      </c>
      <c r="G36" s="1"/>
      <c r="H36" s="1"/>
    </row>
    <row r="37" spans="1:8" hidden="1" x14ac:dyDescent="0.3">
      <c r="A37" s="1"/>
      <c r="B37" s="1"/>
      <c r="C37" s="1">
        <v>21</v>
      </c>
      <c r="D37">
        <f t="shared" si="0"/>
        <v>6.2450786673352257E-2</v>
      </c>
      <c r="E37" t="s">
        <v>9</v>
      </c>
      <c r="G37" s="1"/>
      <c r="H37" s="1"/>
    </row>
    <row r="38" spans="1:8" hidden="1" x14ac:dyDescent="0.3">
      <c r="A38" s="1"/>
      <c r="B38" s="3"/>
      <c r="C38" s="1">
        <v>21.5</v>
      </c>
      <c r="D38">
        <f t="shared" si="0"/>
        <v>6.6644920578359926E-2</v>
      </c>
      <c r="E38" t="s">
        <v>9</v>
      </c>
      <c r="G38" s="1"/>
      <c r="H38" s="1"/>
    </row>
    <row r="39" spans="1:8" hidden="1" x14ac:dyDescent="0.3">
      <c r="A39" s="1"/>
      <c r="B39" s="1"/>
      <c r="C39" s="1">
        <v>22</v>
      </c>
      <c r="D39">
        <f t="shared" si="0"/>
        <v>7.0413065352859905E-2</v>
      </c>
      <c r="E39" t="s">
        <v>9</v>
      </c>
      <c r="G39" s="1"/>
      <c r="H39" s="1"/>
    </row>
    <row r="40" spans="1:8" hidden="1" x14ac:dyDescent="0.3">
      <c r="A40" s="1"/>
      <c r="B40" s="1"/>
      <c r="C40" s="1">
        <v>22.5</v>
      </c>
      <c r="D40">
        <f t="shared" si="0"/>
        <v>7.3654028060664664E-2</v>
      </c>
      <c r="E40" t="s">
        <v>9</v>
      </c>
      <c r="G40" s="1"/>
      <c r="H40" s="1"/>
    </row>
    <row r="41" spans="1:8" hidden="1" x14ac:dyDescent="0.3">
      <c r="A41" s="1"/>
      <c r="B41" s="3"/>
      <c r="C41" s="1">
        <v>23</v>
      </c>
      <c r="D41">
        <f t="shared" si="0"/>
        <v>7.6277563092104816E-2</v>
      </c>
      <c r="E41" t="s">
        <v>9</v>
      </c>
    </row>
    <row r="42" spans="1:8" hidden="1" x14ac:dyDescent="0.3">
      <c r="A42" s="1"/>
      <c r="B42" s="1"/>
      <c r="C42" s="1">
        <v>23.5</v>
      </c>
      <c r="D42">
        <f t="shared" si="0"/>
        <v>7.8208538795091181E-2</v>
      </c>
      <c r="E42" t="s">
        <v>9</v>
      </c>
    </row>
    <row r="43" spans="1:8" hidden="1" x14ac:dyDescent="0.3">
      <c r="A43" s="1"/>
      <c r="B43" s="1"/>
      <c r="C43" s="1">
        <v>24</v>
      </c>
      <c r="D43">
        <f t="shared" si="0"/>
        <v>7.9390509495402356E-2</v>
      </c>
      <c r="E43" t="s">
        <v>9</v>
      </c>
    </row>
    <row r="44" spans="1:8" hidden="1" x14ac:dyDescent="0.3">
      <c r="A44" s="1"/>
      <c r="B44" s="3"/>
      <c r="C44" s="1">
        <v>24.5</v>
      </c>
      <c r="D44">
        <f t="shared" si="0"/>
        <v>7.9788456080286549E-2</v>
      </c>
      <c r="E44" t="s">
        <v>9</v>
      </c>
    </row>
    <row r="45" spans="1:8" hidden="1" x14ac:dyDescent="0.3">
      <c r="A45" s="1"/>
      <c r="B45" s="1"/>
      <c r="C45" s="1">
        <v>25</v>
      </c>
      <c r="D45">
        <f t="shared" si="0"/>
        <v>7.9390509495402356E-2</v>
      </c>
      <c r="E45" t="s">
        <v>9</v>
      </c>
    </row>
    <row r="46" spans="1:8" hidden="1" x14ac:dyDescent="0.3">
      <c r="A46" s="1"/>
      <c r="B46" s="1"/>
      <c r="C46" s="1">
        <v>25.5</v>
      </c>
      <c r="D46">
        <f t="shared" si="0"/>
        <v>7.8208538795091181E-2</v>
      </c>
      <c r="E46" t="s">
        <v>9</v>
      </c>
    </row>
    <row r="47" spans="1:8" hidden="1" x14ac:dyDescent="0.3">
      <c r="A47" s="1"/>
      <c r="B47" s="3"/>
      <c r="C47" s="1">
        <v>26</v>
      </c>
      <c r="D47">
        <f t="shared" si="0"/>
        <v>7.6277563092104816E-2</v>
      </c>
      <c r="E47" t="s">
        <v>9</v>
      </c>
    </row>
    <row r="48" spans="1:8" hidden="1" x14ac:dyDescent="0.3">
      <c r="A48" s="1"/>
      <c r="B48" s="1"/>
      <c r="C48" s="1">
        <v>26.5</v>
      </c>
      <c r="D48">
        <f t="shared" si="0"/>
        <v>7.3654028060664664E-2</v>
      </c>
      <c r="E48" t="s">
        <v>9</v>
      </c>
    </row>
    <row r="49" spans="1:5" hidden="1" x14ac:dyDescent="0.3">
      <c r="A49" s="1"/>
      <c r="B49" s="1"/>
      <c r="C49" s="1">
        <v>27</v>
      </c>
      <c r="D49">
        <f t="shared" si="0"/>
        <v>7.0413065352859905E-2</v>
      </c>
      <c r="E49" t="s">
        <v>9</v>
      </c>
    </row>
    <row r="50" spans="1:5" hidden="1" x14ac:dyDescent="0.3">
      <c r="A50" s="1"/>
      <c r="B50" s="3"/>
      <c r="C50" s="1">
        <v>27.5</v>
      </c>
      <c r="D50">
        <f t="shared" si="0"/>
        <v>6.6644920578359926E-2</v>
      </c>
      <c r="E50" t="s">
        <v>9</v>
      </c>
    </row>
    <row r="51" spans="1:5" hidden="1" x14ac:dyDescent="0.3">
      <c r="A51" s="1"/>
      <c r="B51" s="1"/>
      <c r="C51" s="1">
        <v>28</v>
      </c>
      <c r="D51">
        <f t="shared" si="0"/>
        <v>6.2450786673352257E-2</v>
      </c>
      <c r="E51" t="s">
        <v>9</v>
      </c>
    </row>
    <row r="52" spans="1:5" hidden="1" x14ac:dyDescent="0.3">
      <c r="A52" s="1"/>
      <c r="B52" s="3"/>
      <c r="C52" s="1">
        <v>28.5</v>
      </c>
      <c r="D52">
        <f t="shared" si="0"/>
        <v>5.7938310552296549E-2</v>
      </c>
      <c r="E52" t="s">
        <v>9</v>
      </c>
    </row>
    <row r="53" spans="1:5" hidden="1" x14ac:dyDescent="0.3">
      <c r="A53" s="1"/>
      <c r="B53" s="1"/>
      <c r="C53" s="1">
        <v>29</v>
      </c>
      <c r="D53">
        <f t="shared" si="0"/>
        <v>5.3217049979750963E-2</v>
      </c>
      <c r="E53" t="s">
        <v>9</v>
      </c>
    </row>
    <row r="54" spans="1:5" hidden="1" x14ac:dyDescent="0.3">
      <c r="A54" s="1"/>
      <c r="B54" s="1"/>
      <c r="C54" s="1">
        <v>29.5</v>
      </c>
      <c r="D54">
        <f t="shared" si="0"/>
        <v>4.8394144903828672E-2</v>
      </c>
      <c r="E54" t="s">
        <v>9</v>
      </c>
    </row>
    <row r="55" spans="1:5" hidden="1" x14ac:dyDescent="0.3">
      <c r="A55" s="1"/>
      <c r="B55" s="3"/>
      <c r="C55" s="1">
        <v>30</v>
      </c>
      <c r="D55">
        <f t="shared" si="0"/>
        <v>4.3570435406510108E-2</v>
      </c>
      <c r="E55">
        <v>4.3570435406510108E-2</v>
      </c>
    </row>
    <row r="56" spans="1:5" hidden="1" x14ac:dyDescent="0.3">
      <c r="A56" s="1"/>
      <c r="B56" s="1"/>
      <c r="C56" s="1">
        <v>30.5</v>
      </c>
      <c r="D56">
        <f t="shared" si="0"/>
        <v>3.8837210996642592E-2</v>
      </c>
      <c r="E56">
        <v>3.8837210996642592E-2</v>
      </c>
    </row>
    <row r="57" spans="1:5" hidden="1" x14ac:dyDescent="0.3">
      <c r="A57" s="1"/>
      <c r="B57" s="1"/>
      <c r="C57" s="1">
        <v>31</v>
      </c>
      <c r="D57">
        <f t="shared" si="0"/>
        <v>3.427371840956147E-2</v>
      </c>
      <c r="E57">
        <v>3.427371840956147E-2</v>
      </c>
    </row>
    <row r="58" spans="1:5" hidden="1" x14ac:dyDescent="0.3">
      <c r="A58" s="1"/>
      <c r="B58" s="3"/>
      <c r="C58" s="1">
        <v>31.5</v>
      </c>
      <c r="D58">
        <f t="shared" si="0"/>
        <v>2.9945493127148972E-2</v>
      </c>
      <c r="E58">
        <v>2.9945493127148972E-2</v>
      </c>
    </row>
    <row r="59" spans="1:5" hidden="1" x14ac:dyDescent="0.3">
      <c r="A59" s="1"/>
      <c r="B59" s="1"/>
      <c r="C59" s="1">
        <v>32</v>
      </c>
      <c r="D59">
        <f t="shared" si="0"/>
        <v>2.5903519133178347E-2</v>
      </c>
      <c r="E59">
        <v>2.5903519133178347E-2</v>
      </c>
    </row>
    <row r="60" spans="1:5" hidden="1" x14ac:dyDescent="0.3">
      <c r="A60" s="1"/>
      <c r="B60" s="1"/>
      <c r="C60" s="1">
        <v>32.5</v>
      </c>
      <c r="D60">
        <f t="shared" si="0"/>
        <v>2.2184166935891109E-2</v>
      </c>
      <c r="E60">
        <v>2.2184166935891109E-2</v>
      </c>
    </row>
    <row r="61" spans="1:5" hidden="1" x14ac:dyDescent="0.3">
      <c r="A61" s="1"/>
      <c r="B61" s="3"/>
      <c r="C61" s="1">
        <v>33</v>
      </c>
      <c r="D61">
        <f t="shared" si="0"/>
        <v>1.8809815475377387E-2</v>
      </c>
      <c r="E61">
        <v>1.8809815475377387E-2</v>
      </c>
    </row>
    <row r="62" spans="1:5" hidden="1" x14ac:dyDescent="0.3">
      <c r="A62" s="1"/>
      <c r="B62" s="1"/>
      <c r="C62" s="1">
        <v>33.5</v>
      </c>
      <c r="D62">
        <f t="shared" si="0"/>
        <v>1.5790031660178828E-2</v>
      </c>
      <c r="E62">
        <v>1.5790031660178828E-2</v>
      </c>
    </row>
    <row r="63" spans="1:5" hidden="1" x14ac:dyDescent="0.3">
      <c r="A63" s="1"/>
      <c r="B63" s="1"/>
      <c r="C63" s="1">
        <v>34</v>
      </c>
      <c r="D63">
        <f t="shared" si="0"/>
        <v>1.3123162954935321E-2</v>
      </c>
      <c r="E63">
        <v>1.3123162954935321E-2</v>
      </c>
    </row>
    <row r="64" spans="1:5" hidden="1" x14ac:dyDescent="0.3">
      <c r="A64" s="1"/>
      <c r="B64" s="3"/>
      <c r="C64" s="1">
        <v>34.5</v>
      </c>
      <c r="D64">
        <f t="shared" si="0"/>
        <v>1.0798193302637612E-2</v>
      </c>
      <c r="E64">
        <v>1.0798193302637612E-2</v>
      </c>
    </row>
    <row r="65" spans="1:5" hidden="1" x14ac:dyDescent="0.3">
      <c r="A65" s="1"/>
      <c r="B65" s="1"/>
      <c r="C65" s="1">
        <v>35</v>
      </c>
      <c r="D65">
        <f t="shared" si="0"/>
        <v>8.7967191960854393E-3</v>
      </c>
      <c r="E65">
        <v>8.7967191960854393E-3</v>
      </c>
    </row>
    <row r="66" spans="1:5" hidden="1" x14ac:dyDescent="0.3">
      <c r="A66" s="1"/>
      <c r="B66" s="1"/>
      <c r="C66" s="1">
        <v>35.5</v>
      </c>
      <c r="D66">
        <f t="shared" si="0"/>
        <v>7.0949185692462842E-3</v>
      </c>
      <c r="E66">
        <v>7.0949185692462842E-3</v>
      </c>
    </row>
    <row r="67" spans="1:5" hidden="1" x14ac:dyDescent="0.3">
      <c r="A67" s="1"/>
      <c r="B67" s="3"/>
      <c r="C67" s="1">
        <v>36</v>
      </c>
      <c r="D67">
        <f t="shared" si="0"/>
        <v>5.6654075483202372E-3</v>
      </c>
      <c r="E67">
        <v>5.6654075483202372E-3</v>
      </c>
    </row>
    <row r="68" spans="1:5" hidden="1" x14ac:dyDescent="0.3">
      <c r="A68" s="1"/>
      <c r="B68" s="1"/>
      <c r="C68" s="1">
        <v>36.5</v>
      </c>
      <c r="D68">
        <f t="shared" si="0"/>
        <v>4.4789060589685804E-3</v>
      </c>
      <c r="E68">
        <v>4.4789060589685804E-3</v>
      </c>
    </row>
    <row r="69" spans="1:5" hidden="1" x14ac:dyDescent="0.3">
      <c r="A69" s="1"/>
      <c r="B69" s="1"/>
      <c r="C69" s="1">
        <v>37</v>
      </c>
      <c r="D69">
        <f t="shared" si="0"/>
        <v>3.5056600987137081E-3</v>
      </c>
      <c r="E69">
        <v>3.5056600987137081E-3</v>
      </c>
    </row>
    <row r="70" spans="1:5" hidden="1" x14ac:dyDescent="0.3">
      <c r="A70" s="1"/>
      <c r="B70" s="3"/>
      <c r="C70" s="1">
        <v>37.5</v>
      </c>
      <c r="D70">
        <f t="shared" si="0"/>
        <v>2.7165938467371225E-3</v>
      </c>
      <c r="E70">
        <v>2.7165938467371225E-3</v>
      </c>
    </row>
    <row r="71" spans="1:5" hidden="1" x14ac:dyDescent="0.3">
      <c r="A71" s="1"/>
      <c r="B71" s="1"/>
      <c r="C71" s="1">
        <v>38</v>
      </c>
      <c r="D71">
        <f t="shared" si="0"/>
        <v>2.0841869628845182E-3</v>
      </c>
      <c r="E71">
        <v>2.0841869628845182E-3</v>
      </c>
    </row>
    <row r="72" spans="1:5" hidden="1" x14ac:dyDescent="0.3">
      <c r="A72" s="1"/>
      <c r="C72" s="1">
        <v>38.5</v>
      </c>
      <c r="D72">
        <f t="shared" si="0"/>
        <v>1.5830903165959939E-3</v>
      </c>
      <c r="E72">
        <v>1.5830903165959939E-3</v>
      </c>
    </row>
    <row r="73" spans="1:5" hidden="1" x14ac:dyDescent="0.3">
      <c r="A73" s="1"/>
      <c r="C73" s="1">
        <v>39</v>
      </c>
      <c r="D73">
        <f t="shared" si="0"/>
        <v>1.1905064839551707E-3</v>
      </c>
      <c r="E73">
        <v>1.1905064839551707E-3</v>
      </c>
    </row>
    <row r="74" spans="1:5" hidden="1" x14ac:dyDescent="0.3">
      <c r="A74" s="1"/>
      <c r="C74" s="1">
        <v>39.5</v>
      </c>
      <c r="D74">
        <f t="shared" si="0"/>
        <v>8.8636968238760153E-4</v>
      </c>
      <c r="E74">
        <v>8.8636968238760153E-4</v>
      </c>
    </row>
    <row r="75" spans="1:5" hidden="1" x14ac:dyDescent="0.3">
      <c r="A75" s="1"/>
      <c r="C75" s="1"/>
    </row>
    <row r="76" spans="1:5" hidden="1" x14ac:dyDescent="0.3">
      <c r="A76" s="1"/>
    </row>
    <row r="77" spans="1:5" hidden="1" x14ac:dyDescent="0.3">
      <c r="A77" s="1"/>
    </row>
    <row r="78" spans="1:5" hidden="1" x14ac:dyDescent="0.3">
      <c r="A78" s="1"/>
    </row>
    <row r="79" spans="1:5" hidden="1" x14ac:dyDescent="0.3">
      <c r="A79" s="1"/>
    </row>
    <row r="80" spans="1:5" hidden="1" x14ac:dyDescent="0.3">
      <c r="A80" s="1"/>
    </row>
    <row r="81" spans="1:8" hidden="1" x14ac:dyDescent="0.3">
      <c r="A81" s="1"/>
    </row>
    <row r="82" spans="1:8" hidden="1" x14ac:dyDescent="0.3">
      <c r="A82" s="1"/>
    </row>
    <row r="83" spans="1:8" hidden="1" x14ac:dyDescent="0.3">
      <c r="A83" s="1"/>
    </row>
    <row r="84" spans="1:8" hidden="1" x14ac:dyDescent="0.3">
      <c r="A84" s="1"/>
    </row>
    <row r="85" spans="1:8" hidden="1" x14ac:dyDescent="0.3">
      <c r="A85" s="1"/>
    </row>
    <row r="86" spans="1:8" hidden="1" x14ac:dyDescent="0.3">
      <c r="A86" s="1"/>
    </row>
    <row r="87" spans="1:8" hidden="1" x14ac:dyDescent="0.3">
      <c r="A87" s="1"/>
    </row>
    <row r="88" spans="1:8" hidden="1" x14ac:dyDescent="0.3">
      <c r="A88" s="1"/>
    </row>
    <row r="89" spans="1:8" ht="15" hidden="1" thickBot="1" x14ac:dyDescent="0.35">
      <c r="A89" s="1"/>
    </row>
    <row r="90" spans="1:8" hidden="1" x14ac:dyDescent="0.3">
      <c r="A90" s="1"/>
      <c r="B90" s="12"/>
      <c r="C90" s="13"/>
      <c r="D90" s="13"/>
      <c r="E90" s="13"/>
      <c r="F90" s="13"/>
      <c r="G90" s="13"/>
      <c r="H90" s="14"/>
    </row>
    <row r="91" spans="1:8" ht="18" hidden="1" x14ac:dyDescent="0.35">
      <c r="A91" s="1"/>
      <c r="B91" s="15"/>
      <c r="C91" s="16"/>
      <c r="D91" s="16"/>
      <c r="E91" s="16"/>
      <c r="F91" s="4" t="s">
        <v>1</v>
      </c>
      <c r="G91" s="16">
        <v>60</v>
      </c>
      <c r="H91" s="17"/>
    </row>
    <row r="92" spans="1:8" ht="18" hidden="1" x14ac:dyDescent="0.35">
      <c r="A92" s="1"/>
      <c r="B92" s="15"/>
      <c r="C92" s="16">
        <f>_xlfn.NORM.DIST(52,60,8,TRUE)</f>
        <v>0.15865525393145699</v>
      </c>
      <c r="D92" s="18">
        <f>C92</f>
        <v>0.15865525393145699</v>
      </c>
      <c r="E92" s="16"/>
      <c r="F92" s="5" t="s">
        <v>2</v>
      </c>
      <c r="G92" s="16">
        <v>8</v>
      </c>
      <c r="H92" s="17"/>
    </row>
    <row r="93" spans="1:8" ht="16.2" hidden="1" thickBot="1" x14ac:dyDescent="0.35">
      <c r="A93" s="1"/>
      <c r="B93" s="19"/>
      <c r="C93" s="20"/>
      <c r="D93" s="20"/>
      <c r="E93" s="20"/>
      <c r="F93" s="6" t="s">
        <v>3</v>
      </c>
      <c r="G93" s="20">
        <v>52</v>
      </c>
      <c r="H93" s="21"/>
    </row>
    <row r="94" spans="1:8" hidden="1" x14ac:dyDescent="0.3">
      <c r="A94" s="1"/>
    </row>
    <row r="95" spans="1:8" hidden="1" x14ac:dyDescent="0.3">
      <c r="A95" s="1"/>
    </row>
    <row r="96" spans="1:8" hidden="1" x14ac:dyDescent="0.3">
      <c r="A96" s="1"/>
    </row>
    <row r="97" spans="1:6" hidden="1" x14ac:dyDescent="0.3">
      <c r="A97" s="1"/>
    </row>
    <row r="98" spans="1:6" ht="18" hidden="1" x14ac:dyDescent="0.35">
      <c r="A98" s="1"/>
      <c r="B98" s="4" t="s">
        <v>1</v>
      </c>
      <c r="C98">
        <v>60</v>
      </c>
      <c r="E98">
        <f>_xlfn.NORM.DIST(70,60,8,TRUE)</f>
        <v>0.89435022633314476</v>
      </c>
      <c r="F98" s="11">
        <f>E98</f>
        <v>0.89435022633314476</v>
      </c>
    </row>
    <row r="99" spans="1:6" hidden="1" x14ac:dyDescent="0.3">
      <c r="A99" s="1"/>
      <c r="B99" s="23" t="s">
        <v>10</v>
      </c>
      <c r="C99">
        <v>8</v>
      </c>
    </row>
    <row r="100" spans="1:6" ht="15.6" hidden="1" x14ac:dyDescent="0.3">
      <c r="A100" s="1"/>
      <c r="B100" s="6" t="s">
        <v>3</v>
      </c>
      <c r="C100">
        <v>70</v>
      </c>
      <c r="F100" s="22">
        <f>1-F98</f>
        <v>0.10564977366685524</v>
      </c>
    </row>
    <row r="101" spans="1:6" hidden="1" x14ac:dyDescent="0.3">
      <c r="A101" s="1"/>
    </row>
    <row r="102" spans="1:6" hidden="1" x14ac:dyDescent="0.3">
      <c r="A102" s="1"/>
    </row>
    <row r="103" spans="1:6" hidden="1" x14ac:dyDescent="0.3">
      <c r="A103" s="1"/>
    </row>
    <row r="104" spans="1:6" hidden="1" x14ac:dyDescent="0.3">
      <c r="A104" s="1"/>
    </row>
    <row r="105" spans="1:6" ht="18" hidden="1" x14ac:dyDescent="0.35">
      <c r="A105" s="1"/>
      <c r="B105" s="4" t="s">
        <v>1</v>
      </c>
      <c r="C105">
        <v>60</v>
      </c>
    </row>
    <row r="106" spans="1:6" hidden="1" x14ac:dyDescent="0.3">
      <c r="A106" s="1"/>
      <c r="B106" s="23" t="s">
        <v>10</v>
      </c>
      <c r="C106">
        <v>8</v>
      </c>
    </row>
    <row r="107" spans="1:6" ht="15.6" hidden="1" x14ac:dyDescent="0.3">
      <c r="A107" s="1"/>
      <c r="B107" s="6" t="s">
        <v>3</v>
      </c>
      <c r="C107" t="s">
        <v>11</v>
      </c>
    </row>
    <row r="108" spans="1:6" hidden="1" x14ac:dyDescent="0.3">
      <c r="A108" s="1"/>
    </row>
    <row r="109" spans="1:6" hidden="1" x14ac:dyDescent="0.3">
      <c r="A109" s="1"/>
    </row>
    <row r="110" spans="1:6" hidden="1" x14ac:dyDescent="0.3">
      <c r="A110" s="1"/>
    </row>
    <row r="111" spans="1:6" x14ac:dyDescent="0.3">
      <c r="A111" s="1"/>
    </row>
    <row r="112" spans="1:6" x14ac:dyDescent="0.3">
      <c r="A112" s="1"/>
      <c r="B112" s="24" t="s">
        <v>12</v>
      </c>
    </row>
    <row r="113" spans="1:6" x14ac:dyDescent="0.3">
      <c r="A113" s="1"/>
      <c r="B113" s="24" t="s">
        <v>13</v>
      </c>
    </row>
    <row r="114" spans="1:6" x14ac:dyDescent="0.3">
      <c r="A114" s="1"/>
      <c r="B114" s="24" t="s">
        <v>14</v>
      </c>
    </row>
    <row r="115" spans="1:6" x14ac:dyDescent="0.3">
      <c r="A115" s="1"/>
    </row>
    <row r="116" spans="1:6" x14ac:dyDescent="0.3">
      <c r="A116" s="1"/>
    </row>
    <row r="117" spans="1:6" x14ac:dyDescent="0.3">
      <c r="A117" s="1"/>
    </row>
    <row r="118" spans="1:6" ht="18" x14ac:dyDescent="0.35">
      <c r="A118" s="1"/>
      <c r="B118" s="4" t="s">
        <v>1</v>
      </c>
      <c r="C118">
        <v>1000</v>
      </c>
      <c r="E118">
        <f>_xlfn.NORM.DIST(990,1000,50,TRUE)</f>
        <v>0.42074029056089696</v>
      </c>
      <c r="F118" s="11">
        <f>E118</f>
        <v>0.42074029056089696</v>
      </c>
    </row>
    <row r="119" spans="1:6" x14ac:dyDescent="0.3">
      <c r="A119" s="1"/>
      <c r="B119" s="23" t="s">
        <v>10</v>
      </c>
      <c r="C119">
        <v>50</v>
      </c>
    </row>
    <row r="120" spans="1:6" ht="15.6" x14ac:dyDescent="0.3">
      <c r="A120" s="1"/>
      <c r="B120" s="6" t="s">
        <v>3</v>
      </c>
      <c r="C120">
        <v>990</v>
      </c>
    </row>
    <row r="121" spans="1:6" x14ac:dyDescent="0.3">
      <c r="A121" s="1"/>
    </row>
    <row r="122" spans="1:6" x14ac:dyDescent="0.3">
      <c r="A122" s="1"/>
    </row>
    <row r="123" spans="1:6" x14ac:dyDescent="0.3">
      <c r="A123" s="1"/>
    </row>
    <row r="124" spans="1:6" x14ac:dyDescent="0.3">
      <c r="A124" s="1"/>
    </row>
    <row r="125" spans="1:6" x14ac:dyDescent="0.3">
      <c r="A125" s="1"/>
    </row>
    <row r="126" spans="1:6" x14ac:dyDescent="0.3">
      <c r="A126" s="1"/>
    </row>
    <row r="127" spans="1:6" x14ac:dyDescent="0.3">
      <c r="A127" s="1"/>
    </row>
    <row r="128" spans="1:6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</sheetData>
  <mergeCells count="2">
    <mergeCell ref="A1:M1"/>
    <mergeCell ref="A2:M2"/>
  </mergeCells>
  <pageMargins left="0.7" right="0.7" top="0.75" bottom="0.75" header="0.3" footer="0.3"/>
  <pageSetup orientation="portrait" horizontalDpi="4294967292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D6164-365C-4B28-B2FD-3A45EFC9DFBF}">
  <dimension ref="A1:E9"/>
  <sheetViews>
    <sheetView workbookViewId="0">
      <selection activeCell="N17" sqref="N17"/>
    </sheetView>
  </sheetViews>
  <sheetFormatPr baseColWidth="10" defaultRowHeight="14.4" x14ac:dyDescent="0.3"/>
  <sheetData>
    <row r="1" spans="1:5" x14ac:dyDescent="0.3">
      <c r="A1" s="24" t="s">
        <v>12</v>
      </c>
    </row>
    <row r="2" spans="1:5" x14ac:dyDescent="0.3">
      <c r="A2" s="24" t="s">
        <v>13</v>
      </c>
    </row>
    <row r="3" spans="1:5" x14ac:dyDescent="0.3">
      <c r="A3" s="24" t="s">
        <v>14</v>
      </c>
    </row>
    <row r="7" spans="1:5" ht="18" x14ac:dyDescent="0.35">
      <c r="A7" s="4" t="s">
        <v>1</v>
      </c>
      <c r="B7">
        <v>1000</v>
      </c>
      <c r="D7">
        <f>_xlfn.NORM.DIST(990,1000,50,TRUE)</f>
        <v>0.42074029056089696</v>
      </c>
      <c r="E7" s="11">
        <f>D7</f>
        <v>0.42074029056089696</v>
      </c>
    </row>
    <row r="8" spans="1:5" x14ac:dyDescent="0.3">
      <c r="A8" s="23" t="s">
        <v>10</v>
      </c>
      <c r="B8">
        <v>50</v>
      </c>
    </row>
    <row r="9" spans="1:5" ht="15.6" x14ac:dyDescent="0.3">
      <c r="A9" s="6" t="s">
        <v>3</v>
      </c>
      <c r="B9">
        <v>990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3"/>
  <sheetViews>
    <sheetView tabSelected="1" zoomScale="110" workbookViewId="0">
      <selection activeCell="P9" sqref="P9"/>
    </sheetView>
  </sheetViews>
  <sheetFormatPr baseColWidth="10" defaultRowHeight="14.4" x14ac:dyDescent="0.3"/>
  <cols>
    <col min="1" max="1" width="15.109375" customWidth="1"/>
    <col min="2" max="2" width="8.6640625" customWidth="1"/>
    <col min="3" max="15" width="10.6640625" customWidth="1"/>
  </cols>
  <sheetData>
    <row r="1" spans="1:14" ht="19.5" customHeight="1" x14ac:dyDescent="0.3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t="s">
        <v>5</v>
      </c>
    </row>
    <row r="2" spans="1:14" ht="18.75" customHeight="1" x14ac:dyDescent="0.35">
      <c r="A2" s="34" t="s">
        <v>4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4" spans="1:14" x14ac:dyDescent="0.3">
      <c r="K4" t="s">
        <v>7</v>
      </c>
      <c r="L4" t="s">
        <v>22</v>
      </c>
    </row>
    <row r="5" spans="1:14" x14ac:dyDescent="0.3">
      <c r="L5" t="s">
        <v>23</v>
      </c>
    </row>
    <row r="6" spans="1:14" ht="18" x14ac:dyDescent="0.35">
      <c r="A6" s="4" t="s">
        <v>1</v>
      </c>
      <c r="B6" s="1">
        <v>24.5</v>
      </c>
      <c r="C6" s="1"/>
      <c r="D6" s="1"/>
      <c r="E6" s="1"/>
      <c r="F6" s="1"/>
      <c r="G6" s="1"/>
      <c r="H6" s="1"/>
      <c r="I6" s="1"/>
      <c r="J6" s="1"/>
    </row>
    <row r="7" spans="1:14" ht="18.600000000000001" thickBot="1" x14ac:dyDescent="0.4">
      <c r="A7" s="5" t="s">
        <v>2</v>
      </c>
      <c r="B7" s="1">
        <v>5</v>
      </c>
      <c r="C7" s="1"/>
      <c r="D7" s="1"/>
      <c r="E7" s="1"/>
      <c r="F7" s="1"/>
      <c r="G7" s="1"/>
      <c r="H7" s="1"/>
      <c r="I7" s="1"/>
      <c r="J7" s="1"/>
    </row>
    <row r="8" spans="1:14" ht="16.2" thickBot="1" x14ac:dyDescent="0.35">
      <c r="A8" s="6" t="s">
        <v>3</v>
      </c>
      <c r="B8" s="1">
        <v>30</v>
      </c>
      <c r="C8" s="10">
        <f>_xlfn.NORM.DIST(B8,B6,B7,TRUE)</f>
        <v>0.86433393905361733</v>
      </c>
      <c r="D8" s="9">
        <f>1-C8</f>
        <v>0.13566606094638267</v>
      </c>
    </row>
    <row r="9" spans="1:14" x14ac:dyDescent="0.3">
      <c r="B9" s="2"/>
      <c r="C9" s="7"/>
    </row>
    <row r="10" spans="1:14" x14ac:dyDescent="0.3">
      <c r="B10" s="1"/>
      <c r="C10" s="1"/>
      <c r="G10" s="1"/>
      <c r="H10" s="1"/>
    </row>
    <row r="11" spans="1:14" x14ac:dyDescent="0.3">
      <c r="A11" s="1" t="s">
        <v>6</v>
      </c>
      <c r="B11" s="3"/>
      <c r="C11" s="1"/>
      <c r="F11" s="8">
        <f>H11-(B7*3)</f>
        <v>9.5</v>
      </c>
      <c r="G11" s="8"/>
      <c r="H11" s="8">
        <v>24.5</v>
      </c>
      <c r="I11" s="8"/>
      <c r="J11" s="8">
        <f>H11+(3*B7)</f>
        <v>39.5</v>
      </c>
    </row>
    <row r="12" spans="1:14" x14ac:dyDescent="0.3">
      <c r="A12" s="1"/>
      <c r="B12" s="1"/>
      <c r="C12" s="1"/>
      <c r="G12" s="1"/>
      <c r="H12" s="1"/>
    </row>
    <row r="13" spans="1:14" x14ac:dyDescent="0.3">
      <c r="A13" s="1"/>
      <c r="B13" s="1"/>
      <c r="C13" s="1"/>
      <c r="G13" s="1"/>
      <c r="H13" s="1"/>
    </row>
    <row r="14" spans="1:14" x14ac:dyDescent="0.3">
      <c r="A14" s="1"/>
      <c r="B14" s="3"/>
      <c r="C14" s="1">
        <v>9.5</v>
      </c>
      <c r="D14">
        <f>_xlfn.NORM.DIST(C14,$B$6,$B$7,FALSE)</f>
        <v>8.8636968238760153E-4</v>
      </c>
      <c r="G14" s="1"/>
      <c r="H14" s="1"/>
    </row>
    <row r="15" spans="1:14" x14ac:dyDescent="0.3">
      <c r="A15" s="1"/>
      <c r="B15" s="1"/>
      <c r="C15" s="1">
        <v>10</v>
      </c>
      <c r="D15">
        <f t="shared" ref="D15:D74" si="0">_xlfn.NORM.DIST(C15,$B$6,$B$7,FALSE)</f>
        <v>1.1905064839551707E-3</v>
      </c>
      <c r="G15" s="1"/>
      <c r="H15" s="1"/>
    </row>
    <row r="16" spans="1:14" x14ac:dyDescent="0.3">
      <c r="A16" s="1"/>
      <c r="B16" s="1"/>
      <c r="C16" s="1">
        <v>10.5</v>
      </c>
      <c r="D16">
        <f t="shared" si="0"/>
        <v>1.5830903165959939E-3</v>
      </c>
      <c r="G16" s="1"/>
      <c r="H16" s="1"/>
    </row>
    <row r="17" spans="1:8" x14ac:dyDescent="0.3">
      <c r="A17" s="1"/>
      <c r="B17" s="3"/>
      <c r="C17" s="1">
        <v>11</v>
      </c>
      <c r="D17">
        <f t="shared" si="0"/>
        <v>2.0841869628845182E-3</v>
      </c>
      <c r="G17" s="1"/>
      <c r="H17" s="1"/>
    </row>
    <row r="18" spans="1:8" x14ac:dyDescent="0.3">
      <c r="A18" s="1"/>
      <c r="B18" s="1"/>
      <c r="C18" s="1">
        <v>11.5</v>
      </c>
      <c r="D18">
        <f t="shared" si="0"/>
        <v>2.7165938467371225E-3</v>
      </c>
      <c r="G18" s="1"/>
      <c r="H18" s="1"/>
    </row>
    <row r="19" spans="1:8" x14ac:dyDescent="0.3">
      <c r="A19" s="1"/>
      <c r="B19" s="1"/>
      <c r="C19" s="1">
        <v>12</v>
      </c>
      <c r="D19">
        <f t="shared" si="0"/>
        <v>3.5056600987137081E-3</v>
      </c>
      <c r="G19" s="1"/>
      <c r="H19" s="1"/>
    </row>
    <row r="20" spans="1:8" x14ac:dyDescent="0.3">
      <c r="A20" s="1"/>
      <c r="B20" s="3"/>
      <c r="C20" s="1">
        <v>12.5</v>
      </c>
      <c r="D20">
        <f t="shared" si="0"/>
        <v>4.4789060589685804E-3</v>
      </c>
      <c r="G20" s="1"/>
      <c r="H20" s="1"/>
    </row>
    <row r="21" spans="1:8" x14ac:dyDescent="0.3">
      <c r="A21" s="1"/>
      <c r="B21" s="1"/>
      <c r="C21" s="1">
        <v>13</v>
      </c>
      <c r="D21">
        <f t="shared" si="0"/>
        <v>5.6654075483202372E-3</v>
      </c>
      <c r="G21" s="1"/>
      <c r="H21" s="1"/>
    </row>
    <row r="22" spans="1:8" x14ac:dyDescent="0.3">
      <c r="A22" s="1"/>
      <c r="B22" s="1"/>
      <c r="C22" s="1">
        <v>13.5</v>
      </c>
      <c r="D22">
        <f t="shared" si="0"/>
        <v>7.0949185692462842E-3</v>
      </c>
      <c r="G22" s="1"/>
      <c r="H22" s="1"/>
    </row>
    <row r="23" spans="1:8" x14ac:dyDescent="0.3">
      <c r="A23" s="1"/>
      <c r="B23" s="3"/>
      <c r="C23" s="1">
        <v>14</v>
      </c>
      <c r="D23">
        <f t="shared" si="0"/>
        <v>8.7967191960854393E-3</v>
      </c>
      <c r="G23" s="1"/>
      <c r="H23" s="1"/>
    </row>
    <row r="24" spans="1:8" x14ac:dyDescent="0.3">
      <c r="A24" s="1"/>
      <c r="B24" s="1"/>
      <c r="C24" s="1">
        <v>14.5</v>
      </c>
      <c r="D24">
        <f t="shared" si="0"/>
        <v>1.0798193302637612E-2</v>
      </c>
      <c r="G24" s="1"/>
      <c r="H24" s="1"/>
    </row>
    <row r="25" spans="1:8" x14ac:dyDescent="0.3">
      <c r="A25" s="1"/>
      <c r="B25" s="1"/>
      <c r="C25" s="1">
        <v>15</v>
      </c>
      <c r="D25">
        <f t="shared" si="0"/>
        <v>1.3123162954935321E-2</v>
      </c>
      <c r="G25" s="1"/>
      <c r="H25" s="1"/>
    </row>
    <row r="26" spans="1:8" x14ac:dyDescent="0.3">
      <c r="A26" s="1"/>
      <c r="B26" s="3"/>
      <c r="C26" s="1">
        <v>15.5</v>
      </c>
      <c r="D26">
        <f t="shared" si="0"/>
        <v>1.5790031660178828E-2</v>
      </c>
      <c r="G26" s="1"/>
      <c r="H26" s="1"/>
    </row>
    <row r="27" spans="1:8" x14ac:dyDescent="0.3">
      <c r="A27" s="1"/>
      <c r="B27" s="1"/>
      <c r="C27" s="1">
        <v>16</v>
      </c>
      <c r="D27">
        <f t="shared" si="0"/>
        <v>1.8809815475377387E-2</v>
      </c>
      <c r="G27" s="1"/>
      <c r="H27" s="1"/>
    </row>
    <row r="28" spans="1:8" x14ac:dyDescent="0.3">
      <c r="A28" s="1"/>
      <c r="B28" s="1"/>
      <c r="C28" s="1">
        <v>16.5</v>
      </c>
      <c r="D28">
        <f t="shared" si="0"/>
        <v>2.2184166935891109E-2</v>
      </c>
      <c r="G28" s="1"/>
      <c r="H28" s="1"/>
    </row>
    <row r="29" spans="1:8" x14ac:dyDescent="0.3">
      <c r="A29" s="1"/>
      <c r="B29" s="3"/>
      <c r="C29" s="1">
        <v>17</v>
      </c>
      <c r="D29">
        <f t="shared" si="0"/>
        <v>2.5903519133178347E-2</v>
      </c>
      <c r="G29" s="1"/>
      <c r="H29" s="1"/>
    </row>
    <row r="30" spans="1:8" x14ac:dyDescent="0.3">
      <c r="A30" s="1"/>
      <c r="B30" s="1"/>
      <c r="C30" s="1">
        <v>17.5</v>
      </c>
      <c r="D30">
        <f t="shared" si="0"/>
        <v>2.9945493127148972E-2</v>
      </c>
      <c r="G30" s="1"/>
      <c r="H30" s="1"/>
    </row>
    <row r="31" spans="1:8" x14ac:dyDescent="0.3">
      <c r="A31" s="1"/>
      <c r="B31" s="1"/>
      <c r="C31" s="1">
        <v>18</v>
      </c>
      <c r="D31">
        <f t="shared" si="0"/>
        <v>3.427371840956147E-2</v>
      </c>
      <c r="G31" s="1"/>
      <c r="H31" s="1"/>
    </row>
    <row r="32" spans="1:8" x14ac:dyDescent="0.3">
      <c r="A32" s="1"/>
      <c r="B32" s="3"/>
      <c r="C32" s="1">
        <v>18.5</v>
      </c>
      <c r="D32">
        <f t="shared" si="0"/>
        <v>3.8837210996642592E-2</v>
      </c>
      <c r="E32" t="s">
        <v>8</v>
      </c>
      <c r="G32" s="1"/>
      <c r="H32" s="1"/>
    </row>
    <row r="33" spans="1:8" x14ac:dyDescent="0.3">
      <c r="A33" s="1"/>
      <c r="B33" s="1"/>
      <c r="C33" s="1">
        <v>19</v>
      </c>
      <c r="D33">
        <f t="shared" si="0"/>
        <v>4.3570435406510108E-2</v>
      </c>
      <c r="E33" t="s">
        <v>9</v>
      </c>
      <c r="G33" s="1"/>
      <c r="H33" s="1"/>
    </row>
    <row r="34" spans="1:8" x14ac:dyDescent="0.3">
      <c r="A34" s="1"/>
      <c r="B34" s="1"/>
      <c r="C34" s="1">
        <v>19.5</v>
      </c>
      <c r="D34">
        <f t="shared" si="0"/>
        <v>4.8394144903828672E-2</v>
      </c>
      <c r="E34" t="s">
        <v>9</v>
      </c>
      <c r="G34" s="1"/>
      <c r="H34" s="1"/>
    </row>
    <row r="35" spans="1:8" x14ac:dyDescent="0.3">
      <c r="A35" s="1"/>
      <c r="B35" s="3"/>
      <c r="C35" s="1">
        <v>20</v>
      </c>
      <c r="D35">
        <f t="shared" si="0"/>
        <v>5.3217049979750963E-2</v>
      </c>
      <c r="E35" t="s">
        <v>9</v>
      </c>
      <c r="G35" s="1"/>
      <c r="H35" s="1"/>
    </row>
    <row r="36" spans="1:8" x14ac:dyDescent="0.3">
      <c r="A36" s="1"/>
      <c r="B36" s="1"/>
      <c r="C36" s="1">
        <v>20.5</v>
      </c>
      <c r="D36">
        <f t="shared" si="0"/>
        <v>5.7938310552296549E-2</v>
      </c>
      <c r="E36" t="s">
        <v>9</v>
      </c>
      <c r="G36" s="1"/>
      <c r="H36" s="1"/>
    </row>
    <row r="37" spans="1:8" x14ac:dyDescent="0.3">
      <c r="A37" s="1"/>
      <c r="B37" s="1"/>
      <c r="C37" s="1">
        <v>21</v>
      </c>
      <c r="D37">
        <f t="shared" si="0"/>
        <v>6.2450786673352257E-2</v>
      </c>
      <c r="E37" t="s">
        <v>9</v>
      </c>
      <c r="G37" s="1"/>
      <c r="H37" s="1"/>
    </row>
    <row r="38" spans="1:8" x14ac:dyDescent="0.3">
      <c r="A38" s="1"/>
      <c r="B38" s="3"/>
      <c r="C38" s="1">
        <v>21.5</v>
      </c>
      <c r="D38">
        <f t="shared" si="0"/>
        <v>6.6644920578359926E-2</v>
      </c>
      <c r="E38" t="s">
        <v>9</v>
      </c>
      <c r="G38" s="1"/>
      <c r="H38" s="1"/>
    </row>
    <row r="39" spans="1:8" x14ac:dyDescent="0.3">
      <c r="A39" s="1"/>
      <c r="B39" s="1"/>
      <c r="C39" s="1">
        <v>22</v>
      </c>
      <c r="D39">
        <f t="shared" si="0"/>
        <v>7.0413065352859905E-2</v>
      </c>
      <c r="E39" t="s">
        <v>9</v>
      </c>
      <c r="G39" s="1"/>
      <c r="H39" s="1"/>
    </row>
    <row r="40" spans="1:8" x14ac:dyDescent="0.3">
      <c r="A40" s="1"/>
      <c r="B40" s="1"/>
      <c r="C40" s="1">
        <v>22.5</v>
      </c>
      <c r="D40">
        <f t="shared" si="0"/>
        <v>7.3654028060664664E-2</v>
      </c>
      <c r="E40" t="s">
        <v>9</v>
      </c>
      <c r="G40" s="1"/>
      <c r="H40" s="1"/>
    </row>
    <row r="41" spans="1:8" x14ac:dyDescent="0.3">
      <c r="A41" s="1"/>
      <c r="B41" s="3"/>
      <c r="C41" s="1">
        <v>23</v>
      </c>
      <c r="D41">
        <f t="shared" si="0"/>
        <v>7.6277563092104816E-2</v>
      </c>
      <c r="E41" t="s">
        <v>9</v>
      </c>
    </row>
    <row r="42" spans="1:8" x14ac:dyDescent="0.3">
      <c r="A42" s="1"/>
      <c r="B42" s="1"/>
      <c r="C42" s="1">
        <v>23.5</v>
      </c>
      <c r="D42">
        <f t="shared" si="0"/>
        <v>7.8208538795091181E-2</v>
      </c>
      <c r="E42" t="s">
        <v>9</v>
      </c>
    </row>
    <row r="43" spans="1:8" x14ac:dyDescent="0.3">
      <c r="A43" s="1"/>
      <c r="B43" s="1"/>
      <c r="C43" s="1">
        <v>24</v>
      </c>
      <c r="D43">
        <f t="shared" si="0"/>
        <v>7.9390509495402356E-2</v>
      </c>
      <c r="E43" t="s">
        <v>9</v>
      </c>
    </row>
    <row r="44" spans="1:8" x14ac:dyDescent="0.3">
      <c r="A44" s="1"/>
      <c r="B44" s="3"/>
      <c r="C44" s="1">
        <v>24.5</v>
      </c>
      <c r="D44">
        <f t="shared" si="0"/>
        <v>7.9788456080286549E-2</v>
      </c>
      <c r="E44" t="s">
        <v>9</v>
      </c>
    </row>
    <row r="45" spans="1:8" x14ac:dyDescent="0.3">
      <c r="A45" s="1"/>
      <c r="B45" s="1"/>
      <c r="C45" s="1">
        <v>25</v>
      </c>
      <c r="D45">
        <f t="shared" si="0"/>
        <v>7.9390509495402356E-2</v>
      </c>
      <c r="E45" t="s">
        <v>9</v>
      </c>
    </row>
    <row r="46" spans="1:8" x14ac:dyDescent="0.3">
      <c r="A46" s="1"/>
      <c r="B46" s="1"/>
      <c r="C46" s="1">
        <v>25.5</v>
      </c>
      <c r="D46">
        <f t="shared" si="0"/>
        <v>7.8208538795091181E-2</v>
      </c>
      <c r="E46" t="s">
        <v>9</v>
      </c>
    </row>
    <row r="47" spans="1:8" x14ac:dyDescent="0.3">
      <c r="A47" s="1"/>
      <c r="B47" s="3"/>
      <c r="C47" s="1">
        <v>26</v>
      </c>
      <c r="D47">
        <f t="shared" si="0"/>
        <v>7.6277563092104816E-2</v>
      </c>
      <c r="E47" t="s">
        <v>9</v>
      </c>
    </row>
    <row r="48" spans="1:8" x14ac:dyDescent="0.3">
      <c r="A48" s="1"/>
      <c r="B48" s="1"/>
      <c r="C48" s="1">
        <v>26.5</v>
      </c>
      <c r="D48">
        <f t="shared" si="0"/>
        <v>7.3654028060664664E-2</v>
      </c>
      <c r="E48" t="s">
        <v>9</v>
      </c>
    </row>
    <row r="49" spans="1:5" x14ac:dyDescent="0.3">
      <c r="A49" s="1"/>
      <c r="B49" s="1"/>
      <c r="C49" s="1">
        <v>27</v>
      </c>
      <c r="D49">
        <f t="shared" si="0"/>
        <v>7.0413065352859905E-2</v>
      </c>
      <c r="E49" t="s">
        <v>9</v>
      </c>
    </row>
    <row r="50" spans="1:5" x14ac:dyDescent="0.3">
      <c r="A50" s="1"/>
      <c r="B50" s="3"/>
      <c r="C50" s="1">
        <v>27.5</v>
      </c>
      <c r="D50">
        <f t="shared" si="0"/>
        <v>6.6644920578359926E-2</v>
      </c>
      <c r="E50" t="s">
        <v>9</v>
      </c>
    </row>
    <row r="51" spans="1:5" x14ac:dyDescent="0.3">
      <c r="A51" s="1"/>
      <c r="B51" s="1"/>
      <c r="C51" s="1">
        <v>28</v>
      </c>
      <c r="D51">
        <f t="shared" si="0"/>
        <v>6.2450786673352257E-2</v>
      </c>
      <c r="E51" t="s">
        <v>9</v>
      </c>
    </row>
    <row r="52" spans="1:5" x14ac:dyDescent="0.3">
      <c r="A52" s="1"/>
      <c r="B52" s="3"/>
      <c r="C52" s="1">
        <v>28.5</v>
      </c>
      <c r="D52">
        <f t="shared" si="0"/>
        <v>5.7938310552296549E-2</v>
      </c>
      <c r="E52" t="s">
        <v>9</v>
      </c>
    </row>
    <row r="53" spans="1:5" x14ac:dyDescent="0.3">
      <c r="A53" s="1"/>
      <c r="B53" s="1"/>
      <c r="C53" s="1">
        <v>29</v>
      </c>
      <c r="D53">
        <f t="shared" si="0"/>
        <v>5.3217049979750963E-2</v>
      </c>
      <c r="E53" t="s">
        <v>9</v>
      </c>
    </row>
    <row r="54" spans="1:5" x14ac:dyDescent="0.3">
      <c r="A54" s="1"/>
      <c r="B54" s="1"/>
      <c r="C54" s="1">
        <v>29.5</v>
      </c>
      <c r="D54">
        <f t="shared" si="0"/>
        <v>4.8394144903828672E-2</v>
      </c>
      <c r="E54" t="s">
        <v>9</v>
      </c>
    </row>
    <row r="55" spans="1:5" x14ac:dyDescent="0.3">
      <c r="A55" s="1"/>
      <c r="B55" s="3"/>
      <c r="C55" s="1">
        <v>30</v>
      </c>
      <c r="D55">
        <f t="shared" si="0"/>
        <v>4.3570435406510108E-2</v>
      </c>
      <c r="E55">
        <v>4.3570435406510108E-2</v>
      </c>
    </row>
    <row r="56" spans="1:5" x14ac:dyDescent="0.3">
      <c r="A56" s="1"/>
      <c r="B56" s="1"/>
      <c r="C56" s="1">
        <v>30.5</v>
      </c>
      <c r="D56">
        <f t="shared" si="0"/>
        <v>3.8837210996642592E-2</v>
      </c>
      <c r="E56">
        <v>3.8837210996642592E-2</v>
      </c>
    </row>
    <row r="57" spans="1:5" x14ac:dyDescent="0.3">
      <c r="A57" s="1"/>
      <c r="B57" s="1"/>
      <c r="C57" s="1">
        <v>31</v>
      </c>
      <c r="D57">
        <f t="shared" si="0"/>
        <v>3.427371840956147E-2</v>
      </c>
      <c r="E57">
        <v>3.427371840956147E-2</v>
      </c>
    </row>
    <row r="58" spans="1:5" x14ac:dyDescent="0.3">
      <c r="A58" s="1"/>
      <c r="B58" s="3"/>
      <c r="C58" s="1">
        <v>31.5</v>
      </c>
      <c r="D58">
        <f t="shared" si="0"/>
        <v>2.9945493127148972E-2</v>
      </c>
      <c r="E58">
        <v>2.9945493127148972E-2</v>
      </c>
    </row>
    <row r="59" spans="1:5" x14ac:dyDescent="0.3">
      <c r="A59" s="1"/>
      <c r="B59" s="1"/>
      <c r="C59" s="1">
        <v>32</v>
      </c>
      <c r="D59">
        <f t="shared" si="0"/>
        <v>2.5903519133178347E-2</v>
      </c>
      <c r="E59">
        <v>2.5903519133178347E-2</v>
      </c>
    </row>
    <row r="60" spans="1:5" x14ac:dyDescent="0.3">
      <c r="A60" s="1"/>
      <c r="B60" s="1"/>
      <c r="C60" s="1">
        <v>32.5</v>
      </c>
      <c r="D60">
        <f t="shared" si="0"/>
        <v>2.2184166935891109E-2</v>
      </c>
      <c r="E60">
        <v>2.2184166935891109E-2</v>
      </c>
    </row>
    <row r="61" spans="1:5" x14ac:dyDescent="0.3">
      <c r="A61" s="1"/>
      <c r="B61" s="3"/>
      <c r="C61" s="1">
        <v>33</v>
      </c>
      <c r="D61">
        <f t="shared" si="0"/>
        <v>1.8809815475377387E-2</v>
      </c>
      <c r="E61">
        <v>1.8809815475377387E-2</v>
      </c>
    </row>
    <row r="62" spans="1:5" x14ac:dyDescent="0.3">
      <c r="A62" s="1"/>
      <c r="B62" s="1"/>
      <c r="C62" s="1">
        <v>33.5</v>
      </c>
      <c r="D62">
        <f t="shared" si="0"/>
        <v>1.5790031660178828E-2</v>
      </c>
      <c r="E62">
        <v>1.5790031660178828E-2</v>
      </c>
    </row>
    <row r="63" spans="1:5" x14ac:dyDescent="0.3">
      <c r="A63" s="1"/>
      <c r="B63" s="1"/>
      <c r="C63" s="1">
        <v>34</v>
      </c>
      <c r="D63">
        <f t="shared" si="0"/>
        <v>1.3123162954935321E-2</v>
      </c>
      <c r="E63">
        <v>1.3123162954935321E-2</v>
      </c>
    </row>
    <row r="64" spans="1:5" x14ac:dyDescent="0.3">
      <c r="A64" s="1"/>
      <c r="B64" s="3"/>
      <c r="C64" s="1">
        <v>34.5</v>
      </c>
      <c r="D64">
        <f t="shared" si="0"/>
        <v>1.0798193302637612E-2</v>
      </c>
      <c r="E64">
        <v>1.0798193302637612E-2</v>
      </c>
    </row>
    <row r="65" spans="1:5" x14ac:dyDescent="0.3">
      <c r="A65" s="1"/>
      <c r="B65" s="1"/>
      <c r="C65" s="1">
        <v>35</v>
      </c>
      <c r="D65">
        <f t="shared" si="0"/>
        <v>8.7967191960854393E-3</v>
      </c>
      <c r="E65">
        <v>8.7967191960854393E-3</v>
      </c>
    </row>
    <row r="66" spans="1:5" x14ac:dyDescent="0.3">
      <c r="A66" s="1"/>
      <c r="B66" s="1"/>
      <c r="C66" s="1">
        <v>35.5</v>
      </c>
      <c r="D66">
        <f t="shared" si="0"/>
        <v>7.0949185692462842E-3</v>
      </c>
      <c r="E66">
        <v>7.0949185692462842E-3</v>
      </c>
    </row>
    <row r="67" spans="1:5" x14ac:dyDescent="0.3">
      <c r="A67" s="1"/>
      <c r="B67" s="3"/>
      <c r="C67" s="1">
        <v>36</v>
      </c>
      <c r="D67">
        <f t="shared" si="0"/>
        <v>5.6654075483202372E-3</v>
      </c>
      <c r="E67">
        <v>5.6654075483202372E-3</v>
      </c>
    </row>
    <row r="68" spans="1:5" x14ac:dyDescent="0.3">
      <c r="A68" s="1"/>
      <c r="B68" s="1"/>
      <c r="C68" s="1">
        <v>36.5</v>
      </c>
      <c r="D68">
        <f t="shared" si="0"/>
        <v>4.4789060589685804E-3</v>
      </c>
      <c r="E68">
        <v>4.4789060589685804E-3</v>
      </c>
    </row>
    <row r="69" spans="1:5" x14ac:dyDescent="0.3">
      <c r="A69" s="1"/>
      <c r="B69" s="1"/>
      <c r="C69" s="1">
        <v>37</v>
      </c>
      <c r="D69">
        <f t="shared" si="0"/>
        <v>3.5056600987137081E-3</v>
      </c>
      <c r="E69">
        <v>3.5056600987137081E-3</v>
      </c>
    </row>
    <row r="70" spans="1:5" x14ac:dyDescent="0.3">
      <c r="A70" s="1"/>
      <c r="B70" s="3"/>
      <c r="C70" s="1">
        <v>37.5</v>
      </c>
      <c r="D70">
        <f t="shared" si="0"/>
        <v>2.7165938467371225E-3</v>
      </c>
      <c r="E70">
        <v>2.7165938467371225E-3</v>
      </c>
    </row>
    <row r="71" spans="1:5" x14ac:dyDescent="0.3">
      <c r="A71" s="1"/>
      <c r="B71" s="1"/>
      <c r="C71" s="1">
        <v>38</v>
      </c>
      <c r="D71">
        <f t="shared" si="0"/>
        <v>2.0841869628845182E-3</v>
      </c>
      <c r="E71">
        <v>2.0841869628845182E-3</v>
      </c>
    </row>
    <row r="72" spans="1:5" x14ac:dyDescent="0.3">
      <c r="A72" s="1"/>
      <c r="C72" s="1">
        <v>38.5</v>
      </c>
      <c r="D72">
        <f t="shared" si="0"/>
        <v>1.5830903165959939E-3</v>
      </c>
      <c r="E72">
        <v>1.5830903165959939E-3</v>
      </c>
    </row>
    <row r="73" spans="1:5" x14ac:dyDescent="0.3">
      <c r="A73" s="1"/>
      <c r="C73" s="1">
        <v>39</v>
      </c>
      <c r="D73">
        <f t="shared" si="0"/>
        <v>1.1905064839551707E-3</v>
      </c>
      <c r="E73">
        <v>1.1905064839551707E-3</v>
      </c>
    </row>
    <row r="74" spans="1:5" x14ac:dyDescent="0.3">
      <c r="A74" s="1"/>
      <c r="C74" s="1">
        <v>39.5</v>
      </c>
      <c r="D74">
        <f t="shared" si="0"/>
        <v>8.8636968238760153E-4</v>
      </c>
      <c r="E74">
        <v>8.8636968238760153E-4</v>
      </c>
    </row>
    <row r="75" spans="1:5" x14ac:dyDescent="0.3">
      <c r="A75" s="1"/>
      <c r="C75" s="1"/>
    </row>
    <row r="76" spans="1:5" x14ac:dyDescent="0.3">
      <c r="A76" s="1"/>
    </row>
    <row r="77" spans="1:5" x14ac:dyDescent="0.3">
      <c r="A77" s="1"/>
    </row>
    <row r="78" spans="1:5" x14ac:dyDescent="0.3">
      <c r="A78" s="1"/>
    </row>
    <row r="79" spans="1:5" x14ac:dyDescent="0.3">
      <c r="A79" s="1"/>
    </row>
    <row r="80" spans="1:5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</sheetData>
  <mergeCells count="2">
    <mergeCell ref="A1:M1"/>
    <mergeCell ref="A2:M2"/>
  </mergeCells>
  <pageMargins left="0.7" right="0.7" top="0.75" bottom="0.75" header="0.3" footer="0.3"/>
  <pageSetup orientation="portrait" horizontalDpi="4294967292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Output</vt:lpstr>
      <vt:lpstr>ejercicio con megastat</vt:lpstr>
      <vt:lpstr>ejercicio spss</vt:lpstr>
      <vt:lpstr>ejercicio en excel</vt:lpstr>
    </vt:vector>
  </TitlesOfParts>
  <Company>www.intercambiosvirtuales.org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www.intercambiosvirtuales.org</dc:creator>
  <cp:lastModifiedBy>59168</cp:lastModifiedBy>
  <dcterms:created xsi:type="dcterms:W3CDTF">2021-02-03T20:48:35Z</dcterms:created>
  <dcterms:modified xsi:type="dcterms:W3CDTF">2024-06-03T21:21:19Z</dcterms:modified>
</cp:coreProperties>
</file>