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59168\Desktop\contabilidad empresarial I\"/>
    </mc:Choice>
  </mc:AlternateContent>
  <xr:revisionPtr revIDLastSave="0" documentId="13_ncr:1_{EDC3C1D6-9355-40D8-AFB1-03DA12360D2D}" xr6:coauthVersionLast="43" xr6:coauthVersionMax="43" xr10:uidLastSave="{00000000-0000-0000-0000-000000000000}"/>
  <bookViews>
    <workbookView xWindow="-108" yWindow="-108" windowWidth="23256" windowHeight="12456" activeTab="1" xr2:uid="{00000000-000D-0000-FFFF-FFFF00000000}"/>
  </bookViews>
  <sheets>
    <sheet name="balance de apertura" sheetId="1" r:id="rId1"/>
    <sheet name="libro diario" sheetId="2" r:id="rId2"/>
    <sheet name="libro may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51" i="2" l="1"/>
  <c r="C35" i="2" l="1"/>
  <c r="C34" i="2" s="1"/>
  <c r="D30" i="2"/>
  <c r="D29" i="2" s="1"/>
  <c r="C28" i="2"/>
  <c r="D31" i="2" s="1"/>
  <c r="C23" i="2"/>
  <c r="C18" i="2"/>
  <c r="C13" i="2"/>
  <c r="D9" i="2"/>
  <c r="F15" i="1"/>
  <c r="E27" i="1"/>
  <c r="F30" i="1" s="1"/>
  <c r="F21" i="1"/>
  <c r="F23" i="1" l="1"/>
  <c r="E33" i="1" s="1"/>
  <c r="F32" i="1" s="1"/>
  <c r="F35" i="1" s="1"/>
</calcChain>
</file>

<file path=xl/sharedStrings.xml><?xml version="1.0" encoding="utf-8"?>
<sst xmlns="http://schemas.openxmlformats.org/spreadsheetml/2006/main" count="188" uniqueCount="84">
  <si>
    <t>Balance de Apertura</t>
  </si>
  <si>
    <t>Prácticado Al: 1 de Julio del 2022</t>
  </si>
  <si>
    <t>(Expresado en Bolivianos)</t>
  </si>
  <si>
    <t>ACTIVO</t>
  </si>
  <si>
    <t>ACTIVO CORRIENTE</t>
  </si>
  <si>
    <t>ACTIVO DISPONIBLE</t>
  </si>
  <si>
    <t>Caja M/N</t>
  </si>
  <si>
    <t>TOTAL ACTIVO CORRIENTE</t>
  </si>
  <si>
    <t>ACTIVO NO CORRIENTE</t>
  </si>
  <si>
    <t>TOTAL ACTIVO NO CORRIENTE</t>
  </si>
  <si>
    <t>TOTAL ACTIVOS</t>
  </si>
  <si>
    <t>PASIVO</t>
  </si>
  <si>
    <t>PASIVO CORRIENTE</t>
  </si>
  <si>
    <t>PASIVO NO CORRIENTE</t>
  </si>
  <si>
    <t>TOTAL PASIVOS</t>
  </si>
  <si>
    <t>PATRIMONIO</t>
  </si>
  <si>
    <t xml:space="preserve"> </t>
  </si>
  <si>
    <t>Capital Social</t>
  </si>
  <si>
    <t>TOTAL PASIVO Y PATRIMONIO</t>
  </si>
  <si>
    <t>CONTADOR</t>
  </si>
  <si>
    <t xml:space="preserve">GERENTE </t>
  </si>
  <si>
    <t>LIBRO DIARIO (COMPROBANTES)</t>
  </si>
  <si>
    <t>FECHA</t>
  </si>
  <si>
    <t>DETALLE</t>
  </si>
  <si>
    <t>DEBE</t>
  </si>
  <si>
    <t>HABER</t>
  </si>
  <si>
    <t xml:space="preserve">     ------------ CT-01 ----------</t>
  </si>
  <si>
    <t>CAPITAL SOCIAL</t>
  </si>
  <si>
    <t xml:space="preserve">     ------------ CE-01 ----------</t>
  </si>
  <si>
    <t xml:space="preserve">     ------------ CE-02 ----------</t>
  </si>
  <si>
    <t xml:space="preserve">     ------------ CE-03 ----------</t>
  </si>
  <si>
    <t xml:space="preserve">cuentcorriente en el banco bisa </t>
  </si>
  <si>
    <t xml:space="preserve">varios muebles </t>
  </si>
  <si>
    <t xml:space="preserve">computadoras con un valor de </t>
  </si>
  <si>
    <t>Empresa: LOS PENOCOS SA</t>
  </si>
  <si>
    <t>CAJA M/N</t>
  </si>
  <si>
    <t>BANCO BISA M/N</t>
  </si>
  <si>
    <t>VARIOS MUEBLES</t>
  </si>
  <si>
    <t>EQUIPOS DE COMPUTACION</t>
  </si>
  <si>
    <t>Glosa: Por inicio de actividades comerciales</t>
  </si>
  <si>
    <t>HONORARIOS PROFECIONALES</t>
  </si>
  <si>
    <t>CREDITO FISCAL</t>
  </si>
  <si>
    <t>Glosa:  Pagos de honorarios  segun factura # 555</t>
  </si>
  <si>
    <t>INVENTARIO MERCADERIA</t>
  </si>
  <si>
    <t>SEGURO PAGO  POR ADELANTADO</t>
  </si>
  <si>
    <t>Glosa: Compra de mercaderia según factura #13</t>
  </si>
  <si>
    <t>Glosa: Pago del seguro vehicular 1 año según factura #5441</t>
  </si>
  <si>
    <t xml:space="preserve">     ------------ CI-01 ----------</t>
  </si>
  <si>
    <t>VENTAS</t>
  </si>
  <si>
    <t>DEBITO FISCAL</t>
  </si>
  <si>
    <t>IT POR PAGAR</t>
  </si>
  <si>
    <t xml:space="preserve">   IT </t>
  </si>
  <si>
    <t xml:space="preserve">     ------------ CE-04 ----------</t>
  </si>
  <si>
    <t>DEVOLUCION SOBRE VENTAS</t>
  </si>
  <si>
    <t xml:space="preserve">Glosa: </t>
  </si>
  <si>
    <t xml:space="preserve">     ------------ Ct-02 ----------</t>
  </si>
  <si>
    <t>INVENTRIO DE MERCADERIA</t>
  </si>
  <si>
    <t>CUENTAS POR PAGAR</t>
  </si>
  <si>
    <t xml:space="preserve">     ------------ Ct-03 ----------</t>
  </si>
  <si>
    <t>Glosa: Ventas por mercaderia sra leila gomes</t>
  </si>
  <si>
    <t>Glosa: compra de mercaderia según facctura</t>
  </si>
  <si>
    <t xml:space="preserve">GLOSA: Devolucion de mercaderia </t>
  </si>
  <si>
    <t xml:space="preserve">GLOSA : Pagps de sueldo según planilla mes de noviembre </t>
  </si>
  <si>
    <t>APORTE LABORAL GESTORA POR PAGAR</t>
  </si>
  <si>
    <t>SUELDOS Y SALARIOS</t>
  </si>
  <si>
    <t xml:space="preserve">     ------------ CT-04 ----------</t>
  </si>
  <si>
    <t>APORTES PATRONALES GESTORA 6,71%</t>
  </si>
  <si>
    <t>CAJA DE SALUD 10%</t>
  </si>
  <si>
    <t>AGUINALDOS</t>
  </si>
  <si>
    <t>APORTE PATRONAL GESTORA POR PAGAR</t>
  </si>
  <si>
    <t>CAJA DE SALUD POR PAGAR</t>
  </si>
  <si>
    <t>AGUINALDOS  POR PAGAR</t>
  </si>
  <si>
    <t>PRIMAS</t>
  </si>
  <si>
    <t xml:space="preserve">INDEMNIZACION </t>
  </si>
  <si>
    <t>PREVISION PARA INDEMNIZACION</t>
  </si>
  <si>
    <t>PRIMAS POR PAGAR</t>
  </si>
  <si>
    <t xml:space="preserve">GLOSA: Ppor registro de planilla de aportes y banaficios </t>
  </si>
  <si>
    <t xml:space="preserve">     ------------ CE-06 ----------</t>
  </si>
  <si>
    <t>GLOSA compra de mercaderia según factura f-542</t>
  </si>
  <si>
    <t xml:space="preserve">     ------------ CE-07 ----------</t>
  </si>
  <si>
    <t>GLOSA pago de deuda f-542 a prosertec</t>
  </si>
  <si>
    <t xml:space="preserve">     ------------ CE-08 ----------</t>
  </si>
  <si>
    <t>DESCUENTOS EN COMPRAS</t>
  </si>
  <si>
    <t>GLOSA :Compra de mercaderia a bat srl según factura #005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</si>
</sst>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Bs&quot;* #,##0.00_-;\-&quot;Bs&quot;* #,##0.00_-;_-&quot;Bs&quot;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2" fontId="0" fillId="0" borderId="0" xfId="0" applyNumberFormat="1"/>
    <xf numFmtId="43" fontId="0" fillId="0" borderId="0" xfId="0" applyNumberFormat="1"/>
    <xf numFmtId="0" fontId="4" fillId="0" borderId="0" xfId="0" applyFont="1"/>
    <xf numFmtId="0" fontId="5" fillId="0" borderId="0" xfId="0" applyFont="1"/>
    <xf numFmtId="43" fontId="3" fillId="0" borderId="0" xfId="0" applyNumberFormat="1" applyFont="1"/>
    <xf numFmtId="43" fontId="1" fillId="0" borderId="0" xfId="0" applyNumberFormat="1" applyFont="1"/>
    <xf numFmtId="2" fontId="1" fillId="0" borderId="1" xfId="0" applyNumberFormat="1" applyFont="1" applyBorder="1"/>
    <xf numFmtId="0" fontId="6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/>
    <xf numFmtId="4" fontId="0" fillId="0" borderId="3" xfId="0" applyNumberFormat="1" applyBorder="1"/>
    <xf numFmtId="0" fontId="0" fillId="0" borderId="3" xfId="0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/>
    <xf numFmtId="0" fontId="0" fillId="0" borderId="3" xfId="0" applyBorder="1" applyAlignment="1">
      <alignment horizontal="left"/>
    </xf>
    <xf numFmtId="44" fontId="0" fillId="0" borderId="3" xfId="0" applyNumberFormat="1" applyBorder="1"/>
    <xf numFmtId="14" fontId="3" fillId="0" borderId="3" xfId="0" applyNumberFormat="1" applyFont="1" applyBorder="1"/>
    <xf numFmtId="0" fontId="1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731520</xdr:colOff>
      <xdr:row>4</xdr:row>
      <xdr:rowOff>7620</xdr:rowOff>
    </xdr:from>
    <xdr:to>
      <xdr:col>6</xdr:col>
      <xdr:colOff>731520</xdr:colOff>
      <xdr:row>10</xdr:row>
      <xdr:rowOff>144780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BBC10AC-0307-439C-A452-0CB88112CBBB}"/>
            </a:ext>
          </a:extLst>
        </xdr:cNvPr>
        <xdr:cNvCxnSpPr/>
      </xdr:nvCxnSpPr>
      <xdr:spPr>
        <a:xfrm>
          <a:off x="78638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4</xdr:row>
      <xdr:rowOff>0</xdr:rowOff>
    </xdr:from>
    <xdr:to>
      <xdr:col>8</xdr:col>
      <xdr:colOff>68580</xdr:colOff>
      <xdr:row>4</xdr:row>
      <xdr:rowOff>15240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81CD4FC-823D-45EB-8353-F2884DE954B0}"/>
            </a:ext>
          </a:extLst>
        </xdr:cNvPr>
        <xdr:cNvCxnSpPr/>
      </xdr:nvCxnSpPr>
      <xdr:spPr>
        <a:xfrm>
          <a:off x="70561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731520</xdr:colOff>
      <xdr:row>74</xdr:row>
      <xdr:rowOff>7620</xdr:rowOff>
    </xdr:from>
    <xdr:to>
      <xdr:col>6</xdr:col>
      <xdr:colOff>731520</xdr:colOff>
      <xdr:row>80</xdr:row>
      <xdr:rowOff>144780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34E38241-FC2F-412C-BD3E-295AB72A4932}"/>
            </a:ext>
          </a:extLst>
        </xdr:cNvPr>
        <xdr:cNvCxnSpPr/>
      </xdr:nvCxnSpPr>
      <xdr:spPr>
        <a:xfrm>
          <a:off x="78638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74</xdr:row>
      <xdr:rowOff>0</xdr:rowOff>
    </xdr:from>
    <xdr:to>
      <xdr:col>8</xdr:col>
      <xdr:colOff>68580</xdr:colOff>
      <xdr:row>74</xdr:row>
      <xdr:rowOff>15240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2435B2A0-984A-446E-821C-1B47DE1C18E2}"/>
            </a:ext>
          </a:extLst>
        </xdr:cNvPr>
        <xdr:cNvCxnSpPr/>
      </xdr:nvCxnSpPr>
      <xdr:spPr>
        <a:xfrm>
          <a:off x="70561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4</xdr:row>
      <xdr:rowOff>7620</xdr:rowOff>
    </xdr:from>
    <xdr:to>
      <xdr:col>11</xdr:col>
      <xdr:colOff>731520</xdr:colOff>
      <xdr:row>10</xdr:row>
      <xdr:rowOff>144780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E6F9C6F9-46EB-4273-8A75-7DDCE74B9B37}"/>
            </a:ext>
          </a:extLst>
        </xdr:cNvPr>
        <xdr:cNvCxnSpPr/>
      </xdr:nvCxnSpPr>
      <xdr:spPr>
        <a:xfrm>
          <a:off x="78638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4</xdr:row>
      <xdr:rowOff>0</xdr:rowOff>
    </xdr:from>
    <xdr:to>
      <xdr:col>13</xdr:col>
      <xdr:colOff>68580</xdr:colOff>
      <xdr:row>4</xdr:row>
      <xdr:rowOff>15240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38D7C369-CDCB-466B-8B1D-2217BB3E315D}"/>
            </a:ext>
          </a:extLst>
        </xdr:cNvPr>
        <xdr:cNvCxnSpPr/>
      </xdr:nvCxnSpPr>
      <xdr:spPr>
        <a:xfrm>
          <a:off x="70561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731520</xdr:colOff>
      <xdr:row>74</xdr:row>
      <xdr:rowOff>7620</xdr:rowOff>
    </xdr:from>
    <xdr:to>
      <xdr:col>11</xdr:col>
      <xdr:colOff>731520</xdr:colOff>
      <xdr:row>80</xdr:row>
      <xdr:rowOff>144780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AA43CDBB-908F-4EAE-9A23-01AD6E157CC9}"/>
            </a:ext>
          </a:extLst>
        </xdr:cNvPr>
        <xdr:cNvCxnSpPr/>
      </xdr:nvCxnSpPr>
      <xdr:spPr>
        <a:xfrm>
          <a:off x="7863840" y="739140"/>
          <a:ext cx="0" cy="12344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662940</xdr:colOff>
      <xdr:row>74</xdr:row>
      <xdr:rowOff>0</xdr:rowOff>
    </xdr:from>
    <xdr:to>
      <xdr:col>13</xdr:col>
      <xdr:colOff>68580</xdr:colOff>
      <xdr:row>74</xdr:row>
      <xdr:rowOff>15240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A471071F-B585-4FE6-B657-C6796571D482}"/>
            </a:ext>
          </a:extLst>
        </xdr:cNvPr>
        <xdr:cNvCxnSpPr/>
      </xdr:nvCxnSpPr>
      <xdr:spPr>
        <a:xfrm>
          <a:off x="7056120" y="731520"/>
          <a:ext cx="162306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workbookViewId="0">
      <selection activeCell="C22" sqref="C22"/>
    </sheetView>
  </sheetViews>
  <sheetFormatPr baseColWidth="10" defaultColWidth="10.77734375" defaultRowHeight="14.4" x14ac:dyDescent="0.3"/>
  <cols>
    <col min="3" max="3" width="17.6640625" customWidth="1"/>
    <col min="4" max="6" width="12.5546875" bestFit="1" customWidth="1"/>
  </cols>
  <sheetData>
    <row r="1" spans="1:6" x14ac:dyDescent="0.3">
      <c r="B1" s="1" t="s">
        <v>34</v>
      </c>
    </row>
    <row r="3" spans="1:6" ht="18" x14ac:dyDescent="0.35">
      <c r="B3" s="28" t="s">
        <v>0</v>
      </c>
      <c r="C3" s="28"/>
      <c r="D3" s="28"/>
      <c r="E3" s="28"/>
      <c r="F3" s="28"/>
    </row>
    <row r="4" spans="1:6" ht="18" x14ac:dyDescent="0.35">
      <c r="B4" s="28" t="s">
        <v>1</v>
      </c>
      <c r="C4" s="28"/>
      <c r="D4" s="28"/>
      <c r="E4" s="28"/>
      <c r="F4" s="28"/>
    </row>
    <row r="5" spans="1:6" ht="18" x14ac:dyDescent="0.35">
      <c r="B5" s="28" t="s">
        <v>2</v>
      </c>
      <c r="C5" s="28"/>
      <c r="D5" s="28"/>
      <c r="E5" s="28"/>
      <c r="F5" s="28"/>
    </row>
    <row r="7" spans="1:6" x14ac:dyDescent="0.3">
      <c r="B7" s="2" t="s">
        <v>3</v>
      </c>
    </row>
    <row r="8" spans="1:6" x14ac:dyDescent="0.3">
      <c r="B8" s="2" t="s">
        <v>4</v>
      </c>
      <c r="F8" s="3"/>
    </row>
    <row r="9" spans="1:6" x14ac:dyDescent="0.3">
      <c r="B9" s="2" t="s">
        <v>5</v>
      </c>
      <c r="D9" s="4"/>
      <c r="E9" s="4" t="s">
        <v>16</v>
      </c>
    </row>
    <row r="10" spans="1:6" x14ac:dyDescent="0.3">
      <c r="B10" t="s">
        <v>6</v>
      </c>
      <c r="D10" s="4">
        <v>240000</v>
      </c>
      <c r="E10" s="4" t="s">
        <v>16</v>
      </c>
    </row>
    <row r="11" spans="1:6" x14ac:dyDescent="0.3">
      <c r="B11" t="s">
        <v>31</v>
      </c>
      <c r="D11" s="4">
        <v>170000</v>
      </c>
      <c r="E11" s="4" t="s">
        <v>16</v>
      </c>
    </row>
    <row r="12" spans="1:6" x14ac:dyDescent="0.3">
      <c r="B12" s="5" t="s">
        <v>32</v>
      </c>
      <c r="D12" s="4">
        <v>55000</v>
      </c>
      <c r="E12" s="4"/>
    </row>
    <row r="13" spans="1:6" x14ac:dyDescent="0.3">
      <c r="A13" t="s">
        <v>16</v>
      </c>
      <c r="B13" s="5" t="s">
        <v>33</v>
      </c>
      <c r="D13" s="4">
        <v>32000</v>
      </c>
      <c r="E13" s="4"/>
    </row>
    <row r="14" spans="1:6" x14ac:dyDescent="0.3">
      <c r="B14" s="5"/>
      <c r="D14" s="4"/>
      <c r="E14" s="4"/>
    </row>
    <row r="15" spans="1:6" x14ac:dyDescent="0.3">
      <c r="B15" s="6" t="s">
        <v>7</v>
      </c>
      <c r="C15" s="2"/>
      <c r="D15" s="7"/>
      <c r="E15" s="4"/>
      <c r="F15" s="8">
        <f>SUM(D10:D13)</f>
        <v>497000</v>
      </c>
    </row>
    <row r="16" spans="1:6" x14ac:dyDescent="0.3">
      <c r="B16" s="6"/>
      <c r="C16" s="2"/>
      <c r="D16" s="7"/>
      <c r="E16" s="4"/>
      <c r="F16" s="8"/>
    </row>
    <row r="17" spans="2:9" x14ac:dyDescent="0.3">
      <c r="B17" s="6"/>
      <c r="C17" s="2"/>
      <c r="D17" s="7"/>
      <c r="E17" s="4"/>
      <c r="F17" s="8"/>
    </row>
    <row r="18" spans="2:9" x14ac:dyDescent="0.3">
      <c r="B18" s="6" t="s">
        <v>8</v>
      </c>
      <c r="C18" s="2"/>
      <c r="D18" s="7"/>
      <c r="E18" s="4"/>
      <c r="F18" s="8"/>
    </row>
    <row r="19" spans="2:9" x14ac:dyDescent="0.3">
      <c r="B19" s="6"/>
      <c r="C19" s="2"/>
      <c r="D19" s="7"/>
      <c r="E19" s="4"/>
      <c r="F19" s="8"/>
    </row>
    <row r="20" spans="2:9" x14ac:dyDescent="0.3">
      <c r="B20" s="5"/>
      <c r="C20" s="2"/>
      <c r="D20" s="4">
        <v>0</v>
      </c>
      <c r="E20" s="4"/>
      <c r="F20" s="8"/>
    </row>
    <row r="21" spans="2:9" x14ac:dyDescent="0.3">
      <c r="B21" s="6" t="s">
        <v>9</v>
      </c>
      <c r="C21" s="2"/>
      <c r="D21" s="7"/>
      <c r="E21" s="4"/>
      <c r="F21" s="8">
        <f>D20</f>
        <v>0</v>
      </c>
    </row>
    <row r="23" spans="2:9" ht="15" thickBot="1" x14ac:dyDescent="0.35">
      <c r="B23" s="29" t="s">
        <v>10</v>
      </c>
      <c r="C23" s="29"/>
      <c r="D23" s="29"/>
      <c r="E23" s="29"/>
      <c r="F23" s="9">
        <f>F15+F21</f>
        <v>497000</v>
      </c>
    </row>
    <row r="24" spans="2:9" ht="15" thickTop="1" x14ac:dyDescent="0.3"/>
    <row r="25" spans="2:9" x14ac:dyDescent="0.3">
      <c r="B25" s="2" t="s">
        <v>11</v>
      </c>
      <c r="D25" s="4"/>
      <c r="E25" s="4"/>
      <c r="F25" s="4"/>
    </row>
    <row r="26" spans="2:9" x14ac:dyDescent="0.3">
      <c r="B26" s="2" t="s">
        <v>12</v>
      </c>
      <c r="C26" s="10"/>
      <c r="D26" s="4"/>
      <c r="E26" s="4"/>
      <c r="F26" s="4"/>
    </row>
    <row r="27" spans="2:9" x14ac:dyDescent="0.3">
      <c r="B27" s="2" t="s">
        <v>16</v>
      </c>
      <c r="C27" s="10"/>
      <c r="D27" s="4"/>
      <c r="E27" s="4">
        <f>D28</f>
        <v>0</v>
      </c>
      <c r="F27" s="4"/>
    </row>
    <row r="28" spans="2:9" x14ac:dyDescent="0.3">
      <c r="B28" t="s">
        <v>16</v>
      </c>
      <c r="D28" s="4">
        <v>0</v>
      </c>
      <c r="E28" s="4"/>
      <c r="F28" s="4"/>
    </row>
    <row r="29" spans="2:9" x14ac:dyDescent="0.3">
      <c r="B29" s="2" t="s">
        <v>13</v>
      </c>
      <c r="D29" s="4"/>
      <c r="E29" s="4"/>
      <c r="F29" s="4"/>
    </row>
    <row r="30" spans="2:9" x14ac:dyDescent="0.3">
      <c r="B30" s="2" t="s">
        <v>14</v>
      </c>
      <c r="D30" s="4"/>
      <c r="E30" s="4"/>
      <c r="F30" s="8">
        <f>E27</f>
        <v>0</v>
      </c>
    </row>
    <row r="31" spans="2:9" x14ac:dyDescent="0.3">
      <c r="B31" s="2"/>
      <c r="D31" s="4"/>
      <c r="E31" s="4"/>
      <c r="F31" s="8"/>
    </row>
    <row r="32" spans="2:9" x14ac:dyDescent="0.3">
      <c r="B32" s="1" t="s">
        <v>15</v>
      </c>
      <c r="F32" s="11">
        <f>E33</f>
        <v>497000</v>
      </c>
      <c r="I32" t="s">
        <v>16</v>
      </c>
    </row>
    <row r="33" spans="2:6" x14ac:dyDescent="0.3">
      <c r="B33" t="s">
        <v>17</v>
      </c>
      <c r="D33" s="3"/>
      <c r="E33" s="4">
        <f>F23-F30</f>
        <v>497000</v>
      </c>
    </row>
    <row r="35" spans="2:6" ht="15" thickBot="1" x14ac:dyDescent="0.35">
      <c r="B35" s="30" t="s">
        <v>18</v>
      </c>
      <c r="C35" s="30"/>
      <c r="D35" s="30"/>
      <c r="E35" s="30"/>
      <c r="F35" s="9">
        <f>F32+F30</f>
        <v>497000</v>
      </c>
    </row>
    <row r="36" spans="2:6" ht="15" thickTop="1" x14ac:dyDescent="0.3">
      <c r="B36" s="12"/>
      <c r="C36" s="12"/>
      <c r="D36" s="12"/>
      <c r="E36" s="12"/>
      <c r="F36" s="11"/>
    </row>
    <row r="38" spans="2:6" x14ac:dyDescent="0.3">
      <c r="B38" s="31" t="s">
        <v>19</v>
      </c>
      <c r="C38" s="31"/>
      <c r="D38" s="30" t="s">
        <v>20</v>
      </c>
      <c r="E38" s="30"/>
      <c r="F38" s="30"/>
    </row>
  </sheetData>
  <mergeCells count="7">
    <mergeCell ref="B38:C38"/>
    <mergeCell ref="D38:F38"/>
    <mergeCell ref="B3:F3"/>
    <mergeCell ref="B4:F4"/>
    <mergeCell ref="B5:F5"/>
    <mergeCell ref="B23:E23"/>
    <mergeCell ref="B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4F3B-1ECA-4534-8ABE-F602DCAEEA40}">
  <dimension ref="A1:I86"/>
  <sheetViews>
    <sheetView tabSelected="1" workbookViewId="0">
      <pane xSplit="6" ySplit="13" topLeftCell="G14" activePane="bottomRight" state="frozen"/>
      <selection pane="topRight" activeCell="G1" sqref="G1"/>
      <selection pane="bottomLeft" activeCell="A14" sqref="A14"/>
      <selection pane="bottomRight" activeCell="C5" sqref="C5:C92"/>
    </sheetView>
  </sheetViews>
  <sheetFormatPr baseColWidth="10" defaultColWidth="10.77734375" defaultRowHeight="14.4" x14ac:dyDescent="0.3"/>
  <cols>
    <col min="2" max="2" width="50.109375" customWidth="1"/>
    <col min="3" max="4" width="10.77734375" style="13"/>
  </cols>
  <sheetData>
    <row r="1" spans="1:9" x14ac:dyDescent="0.3">
      <c r="A1" s="30" t="s">
        <v>21</v>
      </c>
      <c r="B1" s="30"/>
      <c r="C1" s="30"/>
      <c r="D1" s="30"/>
    </row>
    <row r="2" spans="1:9" ht="7.5" customHeight="1" x14ac:dyDescent="0.3"/>
    <row r="3" spans="1:9" ht="21.75" customHeight="1" x14ac:dyDescent="0.3">
      <c r="A3" s="14" t="s">
        <v>22</v>
      </c>
      <c r="B3" s="14" t="s">
        <v>23</v>
      </c>
      <c r="C3" s="15" t="s">
        <v>24</v>
      </c>
      <c r="D3" s="15" t="s">
        <v>25</v>
      </c>
    </row>
    <row r="4" spans="1:9" x14ac:dyDescent="0.3">
      <c r="A4" s="24">
        <v>45231</v>
      </c>
      <c r="B4" s="14" t="s">
        <v>26</v>
      </c>
      <c r="C4" s="18"/>
      <c r="D4" s="18"/>
      <c r="F4" t="s">
        <v>24</v>
      </c>
      <c r="G4" s="34" t="s">
        <v>35</v>
      </c>
      <c r="H4" s="34"/>
      <c r="I4" t="s">
        <v>25</v>
      </c>
    </row>
    <row r="5" spans="1:9" x14ac:dyDescent="0.3">
      <c r="A5" s="17"/>
      <c r="B5" s="17" t="s">
        <v>35</v>
      </c>
      <c r="C5" s="18">
        <v>240000</v>
      </c>
      <c r="D5" s="18"/>
    </row>
    <row r="6" spans="1:9" x14ac:dyDescent="0.3">
      <c r="A6" s="17"/>
      <c r="B6" s="22" t="s">
        <v>36</v>
      </c>
      <c r="C6" s="18">
        <v>170000</v>
      </c>
      <c r="D6" s="18" t="s">
        <v>16</v>
      </c>
    </row>
    <row r="7" spans="1:9" x14ac:dyDescent="0.3">
      <c r="A7" s="17"/>
      <c r="B7" s="17" t="s">
        <v>37</v>
      </c>
      <c r="C7" s="18">
        <v>55000</v>
      </c>
      <c r="D7" s="18"/>
    </row>
    <row r="8" spans="1:9" x14ac:dyDescent="0.3">
      <c r="A8" s="16" t="s">
        <v>16</v>
      </c>
      <c r="B8" s="17" t="s">
        <v>38</v>
      </c>
      <c r="C8" s="18">
        <v>32000</v>
      </c>
      <c r="D8" s="18"/>
    </row>
    <row r="9" spans="1:9" x14ac:dyDescent="0.3">
      <c r="A9" s="17"/>
      <c r="B9" s="19" t="s">
        <v>27</v>
      </c>
      <c r="C9" s="18" t="s">
        <v>16</v>
      </c>
      <c r="D9" s="18">
        <f>SUM(C5:C8)</f>
        <v>497000</v>
      </c>
    </row>
    <row r="10" spans="1:9" x14ac:dyDescent="0.3">
      <c r="A10" s="17"/>
      <c r="B10" s="22" t="s">
        <v>39</v>
      </c>
      <c r="C10" s="18" t="s">
        <v>16</v>
      </c>
      <c r="D10" s="18" t="s">
        <v>16</v>
      </c>
    </row>
    <row r="11" spans="1:9" x14ac:dyDescent="0.3">
      <c r="A11" s="24">
        <v>45232</v>
      </c>
      <c r="B11" s="25" t="s">
        <v>28</v>
      </c>
      <c r="C11" s="18"/>
      <c r="D11" s="18"/>
    </row>
    <row r="12" spans="1:9" x14ac:dyDescent="0.3">
      <c r="A12" s="16" t="s">
        <v>16</v>
      </c>
      <c r="B12" s="17" t="s">
        <v>40</v>
      </c>
      <c r="C12" s="18">
        <v>3045</v>
      </c>
      <c r="D12" s="18"/>
    </row>
    <row r="13" spans="1:9" x14ac:dyDescent="0.3">
      <c r="A13" s="17"/>
      <c r="B13" s="20" t="s">
        <v>41</v>
      </c>
      <c r="C13" s="18">
        <f>D14-C12</f>
        <v>455</v>
      </c>
      <c r="D13" s="18"/>
    </row>
    <row r="14" spans="1:9" x14ac:dyDescent="0.3">
      <c r="A14" s="17"/>
      <c r="B14" s="19" t="s">
        <v>36</v>
      </c>
      <c r="C14" s="23"/>
      <c r="D14" s="18">
        <v>3500</v>
      </c>
    </row>
    <row r="15" spans="1:9" x14ac:dyDescent="0.3">
      <c r="A15" s="17"/>
      <c r="B15" s="22" t="s">
        <v>42</v>
      </c>
      <c r="C15" s="23"/>
      <c r="D15" s="18"/>
    </row>
    <row r="16" spans="1:9" x14ac:dyDescent="0.3">
      <c r="A16" s="24">
        <v>45234</v>
      </c>
      <c r="B16" s="25" t="s">
        <v>29</v>
      </c>
      <c r="C16" s="18"/>
      <c r="D16" s="18"/>
    </row>
    <row r="17" spans="1:4" x14ac:dyDescent="0.3">
      <c r="A17" s="16" t="s">
        <v>16</v>
      </c>
      <c r="B17" s="17" t="s">
        <v>43</v>
      </c>
      <c r="C17" s="18">
        <v>6438</v>
      </c>
      <c r="D17" s="18"/>
    </row>
    <row r="18" spans="1:4" x14ac:dyDescent="0.3">
      <c r="A18" s="17"/>
      <c r="B18" s="17" t="s">
        <v>41</v>
      </c>
      <c r="C18" s="18">
        <f>D19-C17</f>
        <v>962</v>
      </c>
      <c r="D18" s="18"/>
    </row>
    <row r="19" spans="1:4" x14ac:dyDescent="0.3">
      <c r="A19" s="17"/>
      <c r="B19" s="19" t="s">
        <v>36</v>
      </c>
      <c r="C19" s="18" t="s">
        <v>16</v>
      </c>
      <c r="D19" s="18">
        <v>7400</v>
      </c>
    </row>
    <row r="20" spans="1:4" x14ac:dyDescent="0.3">
      <c r="A20" s="17"/>
      <c r="B20" s="22" t="s">
        <v>45</v>
      </c>
      <c r="C20" s="18"/>
      <c r="D20" s="18"/>
    </row>
    <row r="21" spans="1:4" x14ac:dyDescent="0.3">
      <c r="A21" s="24">
        <v>45236</v>
      </c>
      <c r="B21" s="25" t="s">
        <v>30</v>
      </c>
      <c r="C21" s="18"/>
      <c r="D21" s="18"/>
    </row>
    <row r="22" spans="1:4" x14ac:dyDescent="0.3">
      <c r="A22" s="17"/>
      <c r="B22" s="17" t="s">
        <v>44</v>
      </c>
      <c r="C22" s="18">
        <v>2958</v>
      </c>
      <c r="D22" s="18"/>
    </row>
    <row r="23" spans="1:4" x14ac:dyDescent="0.3">
      <c r="A23" s="17"/>
      <c r="B23" s="22" t="s">
        <v>41</v>
      </c>
      <c r="C23" s="18">
        <f>D24-C22</f>
        <v>442</v>
      </c>
      <c r="D23" s="18" t="s">
        <v>16</v>
      </c>
    </row>
    <row r="24" spans="1:4" x14ac:dyDescent="0.3">
      <c r="A24" s="17"/>
      <c r="B24" s="19" t="s">
        <v>36</v>
      </c>
      <c r="C24" s="18" t="s">
        <v>16</v>
      </c>
      <c r="D24" s="18">
        <v>3400</v>
      </c>
    </row>
    <row r="25" spans="1:4" x14ac:dyDescent="0.3">
      <c r="A25" s="16" t="s">
        <v>16</v>
      </c>
      <c r="B25" s="22" t="s">
        <v>46</v>
      </c>
      <c r="C25" s="18"/>
      <c r="D25" s="18"/>
    </row>
    <row r="26" spans="1:4" x14ac:dyDescent="0.3">
      <c r="A26" s="24">
        <v>45239</v>
      </c>
      <c r="B26" s="25" t="s">
        <v>47</v>
      </c>
      <c r="C26" s="18" t="s">
        <v>16</v>
      </c>
      <c r="D26" s="18"/>
    </row>
    <row r="27" spans="1:4" x14ac:dyDescent="0.3">
      <c r="A27" s="17" t="s">
        <v>16</v>
      </c>
      <c r="B27" s="22" t="s">
        <v>36</v>
      </c>
      <c r="C27" s="18">
        <v>4800</v>
      </c>
      <c r="D27" s="18" t="s">
        <v>16</v>
      </c>
    </row>
    <row r="28" spans="1:4" x14ac:dyDescent="0.3">
      <c r="A28" s="17"/>
      <c r="B28" s="26" t="s">
        <v>51</v>
      </c>
      <c r="C28" s="18">
        <f>C27*3/100</f>
        <v>144</v>
      </c>
      <c r="D28" s="18"/>
    </row>
    <row r="29" spans="1:4" x14ac:dyDescent="0.3">
      <c r="A29" s="16" t="s">
        <v>16</v>
      </c>
      <c r="B29" s="19" t="s">
        <v>48</v>
      </c>
      <c r="C29" s="18" t="s">
        <v>16</v>
      </c>
      <c r="D29" s="18">
        <f>C27-D30</f>
        <v>4176</v>
      </c>
    </row>
    <row r="30" spans="1:4" x14ac:dyDescent="0.3">
      <c r="A30" s="17" t="s">
        <v>16</v>
      </c>
      <c r="B30" s="19" t="s">
        <v>49</v>
      </c>
      <c r="C30" s="18" t="s">
        <v>16</v>
      </c>
      <c r="D30" s="18">
        <f>C27*13/100</f>
        <v>624</v>
      </c>
    </row>
    <row r="31" spans="1:4" x14ac:dyDescent="0.3">
      <c r="A31" s="17"/>
      <c r="B31" s="27" t="s">
        <v>50</v>
      </c>
      <c r="C31" s="18" t="s">
        <v>16</v>
      </c>
      <c r="D31" s="18">
        <f>C28</f>
        <v>144</v>
      </c>
    </row>
    <row r="32" spans="1:4" x14ac:dyDescent="0.3">
      <c r="A32" s="17"/>
      <c r="B32" s="22" t="s">
        <v>59</v>
      </c>
      <c r="C32" s="18"/>
      <c r="D32" s="18"/>
    </row>
    <row r="33" spans="1:4" x14ac:dyDescent="0.3">
      <c r="A33" s="24">
        <v>45241</v>
      </c>
      <c r="B33" s="25" t="s">
        <v>52</v>
      </c>
      <c r="C33" s="18" t="s">
        <v>16</v>
      </c>
      <c r="D33" s="18"/>
    </row>
    <row r="34" spans="1:4" x14ac:dyDescent="0.3">
      <c r="A34" s="17" t="s">
        <v>16</v>
      </c>
      <c r="B34" s="22" t="s">
        <v>53</v>
      </c>
      <c r="C34" s="18">
        <f>D36-C35</f>
        <v>2088</v>
      </c>
      <c r="D34" s="18" t="s">
        <v>16</v>
      </c>
    </row>
    <row r="35" spans="1:4" x14ac:dyDescent="0.3">
      <c r="A35" s="17"/>
      <c r="B35" s="26" t="s">
        <v>41</v>
      </c>
      <c r="C35" s="18">
        <f>D36*13/100</f>
        <v>312</v>
      </c>
      <c r="D35" s="18"/>
    </row>
    <row r="36" spans="1:4" x14ac:dyDescent="0.3">
      <c r="A36" s="16" t="s">
        <v>16</v>
      </c>
      <c r="B36" s="19" t="s">
        <v>35</v>
      </c>
      <c r="C36" s="18" t="s">
        <v>16</v>
      </c>
      <c r="D36" s="18">
        <v>2400</v>
      </c>
    </row>
    <row r="37" spans="1:4" x14ac:dyDescent="0.3">
      <c r="A37" s="16"/>
      <c r="B37" s="22" t="s">
        <v>60</v>
      </c>
      <c r="C37" s="18"/>
      <c r="D37" s="18"/>
    </row>
    <row r="38" spans="1:4" x14ac:dyDescent="0.3">
      <c r="A38" s="24">
        <v>45242</v>
      </c>
      <c r="B38" s="25" t="s">
        <v>55</v>
      </c>
      <c r="C38" s="18" t="s">
        <v>16</v>
      </c>
      <c r="D38" s="18" t="s">
        <v>16</v>
      </c>
    </row>
    <row r="39" spans="1:4" x14ac:dyDescent="0.3">
      <c r="A39" s="17"/>
      <c r="B39" s="21" t="s">
        <v>56</v>
      </c>
      <c r="C39" s="18">
        <v>7134</v>
      </c>
      <c r="D39" s="18"/>
    </row>
    <row r="40" spans="1:4" x14ac:dyDescent="0.3">
      <c r="A40" s="16" t="s">
        <v>16</v>
      </c>
      <c r="B40" s="17" t="s">
        <v>41</v>
      </c>
      <c r="C40" s="18">
        <v>1066</v>
      </c>
      <c r="D40" s="18"/>
    </row>
    <row r="41" spans="1:4" x14ac:dyDescent="0.3">
      <c r="A41" s="17" t="s">
        <v>16</v>
      </c>
      <c r="B41" s="19" t="s">
        <v>57</v>
      </c>
      <c r="C41" s="18" t="s">
        <v>16</v>
      </c>
      <c r="D41" s="18">
        <v>8200</v>
      </c>
    </row>
    <row r="42" spans="1:4" x14ac:dyDescent="0.3">
      <c r="A42" s="17"/>
      <c r="B42" s="22" t="s">
        <v>54</v>
      </c>
      <c r="C42" s="18"/>
      <c r="D42" s="18"/>
    </row>
    <row r="43" spans="1:4" x14ac:dyDescent="0.3">
      <c r="A43" s="24">
        <v>45248</v>
      </c>
      <c r="B43" s="25" t="s">
        <v>58</v>
      </c>
      <c r="C43" s="18" t="s">
        <v>16</v>
      </c>
      <c r="D43" s="18"/>
    </row>
    <row r="44" spans="1:4" x14ac:dyDescent="0.3">
      <c r="A44" s="24"/>
      <c r="B44" s="17" t="s">
        <v>57</v>
      </c>
      <c r="C44" s="18">
        <v>8200</v>
      </c>
      <c r="D44" s="18"/>
    </row>
    <row r="45" spans="1:4" x14ac:dyDescent="0.3">
      <c r="A45" s="17" t="s">
        <v>16</v>
      </c>
      <c r="B45" s="19" t="s">
        <v>43</v>
      </c>
      <c r="C45" s="18" t="s">
        <v>16</v>
      </c>
      <c r="D45" s="18">
        <v>7134</v>
      </c>
    </row>
    <row r="46" spans="1:4" x14ac:dyDescent="0.3">
      <c r="A46" s="17"/>
      <c r="B46" s="32" t="s">
        <v>49</v>
      </c>
      <c r="C46" s="18" t="s">
        <v>16</v>
      </c>
      <c r="D46" s="18">
        <v>1066</v>
      </c>
    </row>
    <row r="47" spans="1:4" x14ac:dyDescent="0.3">
      <c r="A47" s="16" t="s">
        <v>16</v>
      </c>
      <c r="B47" s="17" t="s">
        <v>61</v>
      </c>
      <c r="C47" s="18" t="s">
        <v>16</v>
      </c>
      <c r="D47" s="18"/>
    </row>
    <row r="48" spans="1:4" x14ac:dyDescent="0.3">
      <c r="A48" s="24">
        <v>45257</v>
      </c>
      <c r="B48" s="25" t="s">
        <v>77</v>
      </c>
      <c r="C48" s="18" t="s">
        <v>16</v>
      </c>
      <c r="D48" s="18" t="s">
        <v>16</v>
      </c>
    </row>
    <row r="49" spans="1:4" x14ac:dyDescent="0.3">
      <c r="A49" s="17"/>
      <c r="B49" s="33" t="s">
        <v>64</v>
      </c>
      <c r="C49" s="18">
        <v>25000</v>
      </c>
      <c r="D49" s="18"/>
    </row>
    <row r="50" spans="1:4" x14ac:dyDescent="0.3">
      <c r="A50" s="17"/>
      <c r="B50" s="32" t="s">
        <v>35</v>
      </c>
      <c r="C50" s="18" t="s">
        <v>16</v>
      </c>
      <c r="D50" s="18">
        <v>21822.5</v>
      </c>
    </row>
    <row r="51" spans="1:4" x14ac:dyDescent="0.3">
      <c r="A51" s="17"/>
      <c r="B51" s="32" t="s">
        <v>63</v>
      </c>
      <c r="C51" s="18" t="s">
        <v>16</v>
      </c>
      <c r="D51" s="18">
        <f>C49*12.71/100</f>
        <v>3177.5</v>
      </c>
    </row>
    <row r="52" spans="1:4" x14ac:dyDescent="0.3">
      <c r="A52" s="17"/>
      <c r="B52" s="21" t="s">
        <v>62</v>
      </c>
      <c r="C52" s="18" t="s">
        <v>16</v>
      </c>
      <c r="D52" s="18"/>
    </row>
    <row r="53" spans="1:4" x14ac:dyDescent="0.3">
      <c r="A53" s="24">
        <v>45257</v>
      </c>
      <c r="B53" s="25" t="s">
        <v>65</v>
      </c>
      <c r="C53" s="18" t="s">
        <v>16</v>
      </c>
      <c r="D53" s="18"/>
    </row>
    <row r="54" spans="1:4" x14ac:dyDescent="0.3">
      <c r="A54" s="17"/>
      <c r="B54" s="21" t="s">
        <v>66</v>
      </c>
      <c r="C54" s="18">
        <v>16677.5</v>
      </c>
      <c r="D54" s="18"/>
    </row>
    <row r="55" spans="1:4" x14ac:dyDescent="0.3">
      <c r="A55" s="17"/>
      <c r="B55" s="21" t="s">
        <v>67</v>
      </c>
      <c r="C55" s="18">
        <v>2500</v>
      </c>
      <c r="D55" s="18"/>
    </row>
    <row r="56" spans="1:4" x14ac:dyDescent="0.3">
      <c r="A56" s="17"/>
      <c r="B56" s="21" t="s">
        <v>68</v>
      </c>
      <c r="C56" s="18">
        <v>2083.33</v>
      </c>
      <c r="D56" s="18"/>
    </row>
    <row r="57" spans="1:4" x14ac:dyDescent="0.3">
      <c r="A57" s="17"/>
      <c r="B57" s="21" t="s">
        <v>73</v>
      </c>
      <c r="C57" s="18">
        <v>2083.33</v>
      </c>
      <c r="D57" s="18"/>
    </row>
    <row r="58" spans="1:4" x14ac:dyDescent="0.3">
      <c r="A58" s="17"/>
      <c r="B58" s="21" t="s">
        <v>72</v>
      </c>
      <c r="C58" s="18">
        <v>2083.33</v>
      </c>
      <c r="D58" s="18"/>
    </row>
    <row r="59" spans="1:4" x14ac:dyDescent="0.3">
      <c r="A59" s="17"/>
      <c r="B59" s="32" t="s">
        <v>69</v>
      </c>
      <c r="C59" s="18" t="s">
        <v>16</v>
      </c>
      <c r="D59" s="18">
        <v>1677.5</v>
      </c>
    </row>
    <row r="60" spans="1:4" x14ac:dyDescent="0.3">
      <c r="A60" s="17"/>
      <c r="B60" s="32" t="s">
        <v>70</v>
      </c>
      <c r="C60" s="18" t="s">
        <v>16</v>
      </c>
      <c r="D60" s="18">
        <v>2500</v>
      </c>
    </row>
    <row r="61" spans="1:4" x14ac:dyDescent="0.3">
      <c r="A61" s="17"/>
      <c r="B61" s="32" t="s">
        <v>71</v>
      </c>
      <c r="C61" s="18" t="s">
        <v>16</v>
      </c>
      <c r="D61" s="18">
        <v>2083.33</v>
      </c>
    </row>
    <row r="62" spans="1:4" x14ac:dyDescent="0.3">
      <c r="A62" s="17"/>
      <c r="B62" s="32" t="s">
        <v>74</v>
      </c>
      <c r="C62" s="18" t="s">
        <v>16</v>
      </c>
      <c r="D62" s="18">
        <v>2083.33</v>
      </c>
    </row>
    <row r="63" spans="1:4" x14ac:dyDescent="0.3">
      <c r="A63" s="17"/>
      <c r="B63" s="32" t="s">
        <v>75</v>
      </c>
      <c r="C63" s="18" t="s">
        <v>16</v>
      </c>
      <c r="D63" s="18">
        <v>2083.33</v>
      </c>
    </row>
    <row r="64" spans="1:4" x14ac:dyDescent="0.3">
      <c r="A64" s="24" t="s">
        <v>16</v>
      </c>
      <c r="B64" s="32" t="s">
        <v>76</v>
      </c>
      <c r="C64" s="18" t="s">
        <v>16</v>
      </c>
      <c r="D64" s="18"/>
    </row>
    <row r="65" spans="1:4" x14ac:dyDescent="0.3">
      <c r="A65" s="24">
        <v>45257</v>
      </c>
      <c r="B65" s="25" t="s">
        <v>77</v>
      </c>
      <c r="C65" s="18" t="s">
        <v>16</v>
      </c>
      <c r="D65" s="18"/>
    </row>
    <row r="66" spans="1:4" x14ac:dyDescent="0.3">
      <c r="A66" s="17"/>
      <c r="B66" s="21" t="s">
        <v>43</v>
      </c>
      <c r="C66" s="18">
        <v>13050</v>
      </c>
      <c r="D66" s="18"/>
    </row>
    <row r="67" spans="1:4" x14ac:dyDescent="0.3">
      <c r="A67" s="17"/>
      <c r="B67" s="21" t="s">
        <v>41</v>
      </c>
      <c r="C67" s="18">
        <v>1950</v>
      </c>
      <c r="D67" s="18"/>
    </row>
    <row r="68" spans="1:4" x14ac:dyDescent="0.3">
      <c r="A68" s="17"/>
      <c r="B68" s="32" t="s">
        <v>57</v>
      </c>
      <c r="C68" s="18" t="s">
        <v>16</v>
      </c>
      <c r="D68" s="18">
        <v>7500</v>
      </c>
    </row>
    <row r="69" spans="1:4" x14ac:dyDescent="0.3">
      <c r="A69" s="17"/>
      <c r="B69" s="32" t="s">
        <v>35</v>
      </c>
      <c r="C69" s="18" t="s">
        <v>16</v>
      </c>
      <c r="D69" s="18">
        <v>7500</v>
      </c>
    </row>
    <row r="70" spans="1:4" x14ac:dyDescent="0.3">
      <c r="A70" s="17"/>
      <c r="B70" s="21" t="s">
        <v>78</v>
      </c>
      <c r="C70" s="18" t="s">
        <v>16</v>
      </c>
      <c r="D70" s="18"/>
    </row>
    <row r="71" spans="1:4" x14ac:dyDescent="0.3">
      <c r="A71" s="24">
        <v>45258</v>
      </c>
      <c r="B71" s="25" t="s">
        <v>79</v>
      </c>
      <c r="C71" s="18" t="s">
        <v>16</v>
      </c>
      <c r="D71" s="18"/>
    </row>
    <row r="72" spans="1:4" x14ac:dyDescent="0.3">
      <c r="A72" s="17"/>
      <c r="B72" s="21" t="s">
        <v>57</v>
      </c>
      <c r="C72" s="18">
        <v>7500</v>
      </c>
      <c r="D72" s="18"/>
    </row>
    <row r="73" spans="1:4" x14ac:dyDescent="0.3">
      <c r="A73" s="17"/>
      <c r="B73" s="32" t="s">
        <v>35</v>
      </c>
      <c r="C73" s="18" t="s">
        <v>16</v>
      </c>
      <c r="D73" s="18">
        <v>7500</v>
      </c>
    </row>
    <row r="74" spans="1:4" x14ac:dyDescent="0.3">
      <c r="A74" s="17"/>
      <c r="B74" s="21" t="s">
        <v>80</v>
      </c>
      <c r="C74" s="18" t="s">
        <v>16</v>
      </c>
      <c r="D74" s="18"/>
    </row>
    <row r="75" spans="1:4" x14ac:dyDescent="0.3">
      <c r="A75" s="24">
        <v>45258</v>
      </c>
      <c r="B75" s="25" t="s">
        <v>81</v>
      </c>
      <c r="C75" s="18" t="s">
        <v>16</v>
      </c>
      <c r="D75" s="18"/>
    </row>
    <row r="76" spans="1:4" x14ac:dyDescent="0.3">
      <c r="A76" s="24" t="s">
        <v>16</v>
      </c>
      <c r="B76" s="21" t="s">
        <v>43</v>
      </c>
      <c r="C76" s="18">
        <v>10440</v>
      </c>
      <c r="D76" s="18"/>
    </row>
    <row r="77" spans="1:4" x14ac:dyDescent="0.3">
      <c r="A77" s="17"/>
      <c r="B77" s="21" t="s">
        <v>41</v>
      </c>
      <c r="C77" s="18">
        <v>1650</v>
      </c>
      <c r="D77" s="18"/>
    </row>
    <row r="78" spans="1:4" x14ac:dyDescent="0.3">
      <c r="A78" s="17"/>
      <c r="B78" s="32" t="s">
        <v>35</v>
      </c>
      <c r="C78" s="18" t="s">
        <v>16</v>
      </c>
      <c r="D78" s="18">
        <v>11400</v>
      </c>
    </row>
    <row r="79" spans="1:4" x14ac:dyDescent="0.3">
      <c r="A79" s="17"/>
      <c r="B79" s="32" t="s">
        <v>82</v>
      </c>
      <c r="C79" s="18" t="s">
        <v>16</v>
      </c>
      <c r="D79" s="18">
        <v>522</v>
      </c>
    </row>
    <row r="80" spans="1:4" x14ac:dyDescent="0.3">
      <c r="A80" s="17"/>
      <c r="B80" s="32" t="s">
        <v>49</v>
      </c>
      <c r="C80" s="18" t="s">
        <v>16</v>
      </c>
      <c r="D80" s="18">
        <v>78</v>
      </c>
    </row>
    <row r="81" spans="1:4" x14ac:dyDescent="0.3">
      <c r="A81" s="17"/>
      <c r="B81" s="21" t="s">
        <v>83</v>
      </c>
      <c r="C81" s="18" t="s">
        <v>16</v>
      </c>
      <c r="D81" s="18"/>
    </row>
    <row r="82" spans="1:4" x14ac:dyDescent="0.3">
      <c r="A82" s="17"/>
      <c r="B82" s="21" t="s">
        <v>16</v>
      </c>
      <c r="C82" s="18" t="s">
        <v>16</v>
      </c>
      <c r="D82" s="18"/>
    </row>
    <row r="83" spans="1:4" x14ac:dyDescent="0.3">
      <c r="A83" s="17"/>
      <c r="B83" s="21" t="s">
        <v>16</v>
      </c>
      <c r="C83" s="18" t="s">
        <v>16</v>
      </c>
      <c r="D83" s="18"/>
    </row>
    <row r="84" spans="1:4" x14ac:dyDescent="0.3">
      <c r="A84" s="17"/>
      <c r="B84" s="21" t="s">
        <v>16</v>
      </c>
      <c r="C84" s="18" t="s">
        <v>16</v>
      </c>
      <c r="D84" s="18"/>
    </row>
    <row r="85" spans="1:4" x14ac:dyDescent="0.3">
      <c r="A85" s="17"/>
      <c r="B85" s="21" t="s">
        <v>16</v>
      </c>
      <c r="C85" s="18" t="s">
        <v>16</v>
      </c>
      <c r="D85" s="18"/>
    </row>
    <row r="86" spans="1:4" x14ac:dyDescent="0.3">
      <c r="A86" s="17"/>
      <c r="B86" s="21" t="s">
        <v>16</v>
      </c>
      <c r="C86" s="18" t="s">
        <v>16</v>
      </c>
      <c r="D86" s="18"/>
    </row>
  </sheetData>
  <mergeCells count="2">
    <mergeCell ref="A1:D1"/>
    <mergeCell ref="G4:H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236A-2539-4344-A251-C7B9BBA88098}">
  <dimension ref="A1"/>
  <sheetViews>
    <sheetView workbookViewId="0">
      <selection activeCell="A13" sqref="A13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balance de apertura</vt:lpstr>
      <vt:lpstr>libro diario</vt:lpstr>
      <vt:lpstr>libro mayor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59168</cp:lastModifiedBy>
  <dcterms:created xsi:type="dcterms:W3CDTF">2015-06-05T18:19:34Z</dcterms:created>
  <dcterms:modified xsi:type="dcterms:W3CDTF">2023-12-08T00:16:11Z</dcterms:modified>
</cp:coreProperties>
</file>