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NTA202\Desktop\Contabilidad_Empresarial_I\"/>
    </mc:Choice>
  </mc:AlternateContent>
  <xr:revisionPtr revIDLastSave="0" documentId="13_ncr:1_{919F04F7-B740-4432-9079-307FC9A1E7B2}" xr6:coauthVersionLast="47" xr6:coauthVersionMax="47" xr10:uidLastSave="{00000000-0000-0000-0000-000000000000}"/>
  <bookViews>
    <workbookView xWindow="-108" yWindow="-108" windowWidth="23256" windowHeight="12456" firstSheet="1" activeTab="4" xr2:uid="{DA365A24-D5AA-4BF5-B954-ED7BAA03B3CA}"/>
  </bookViews>
  <sheets>
    <sheet name="BALANCE DE APERTURA" sheetId="1" r:id="rId1"/>
    <sheet name="LIBRO DIARIO" sheetId="2" r:id="rId2"/>
    <sheet name="MAYORES" sheetId="3" r:id="rId3"/>
    <sheet name="BAL. SUMAS Y SALDOS - HOJA DE T" sheetId="4" r:id="rId4"/>
    <sheet name="ESTADO DE RESULTADOS" sheetId="5" r:id="rId5"/>
    <sheet name="BALANCE GENERAL" sheetId="6" r:id="rId6"/>
  </sheets>
  <definedNames>
    <definedName name="_xlnm._FilterDatabase" localSheetId="1" hidden="1">'LIBRO DIARIO'!$A$9:$D$62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6" l="1"/>
  <c r="C13" i="6"/>
  <c r="E14" i="6"/>
  <c r="F25" i="5"/>
  <c r="F18" i="5"/>
  <c r="E21" i="5"/>
  <c r="E20" i="5"/>
  <c r="E32" i="6"/>
  <c r="E17" i="6"/>
  <c r="F16" i="6" s="1"/>
  <c r="E25" i="6"/>
  <c r="F27" i="6"/>
  <c r="E24" i="6"/>
  <c r="E23" i="6"/>
  <c r="E12" i="6"/>
  <c r="E11" i="6"/>
  <c r="E10" i="6"/>
  <c r="F9" i="6" s="1"/>
  <c r="E19" i="5"/>
  <c r="C19" i="5"/>
  <c r="E22" i="5"/>
  <c r="E23" i="5"/>
  <c r="E9" i="5"/>
  <c r="F8" i="5" s="1"/>
  <c r="I25" i="4"/>
  <c r="G23" i="4"/>
  <c r="K23" i="4"/>
  <c r="I22" i="4"/>
  <c r="I24" i="4"/>
  <c r="J24" i="4"/>
  <c r="J25" i="4" s="1"/>
  <c r="J26" i="4" s="1"/>
  <c r="K24" i="4"/>
  <c r="J20" i="4"/>
  <c r="B19" i="4"/>
  <c r="K17" i="4"/>
  <c r="H16" i="4"/>
  <c r="H15" i="4"/>
  <c r="H12" i="4"/>
  <c r="K13" i="4"/>
  <c r="J9" i="4"/>
  <c r="J8" i="4"/>
  <c r="C70" i="2"/>
  <c r="E23" i="4"/>
  <c r="E22" i="4"/>
  <c r="G22" i="4"/>
  <c r="D21" i="4"/>
  <c r="G21" i="4" s="1"/>
  <c r="D20" i="4"/>
  <c r="F20" i="4" s="1"/>
  <c r="D19" i="4"/>
  <c r="F19" i="4" s="1"/>
  <c r="H19" i="4" s="1"/>
  <c r="D18" i="4"/>
  <c r="E17" i="4"/>
  <c r="D15" i="4"/>
  <c r="F15" i="4" s="1"/>
  <c r="D16" i="4"/>
  <c r="G16" i="4" s="1"/>
  <c r="D14" i="4"/>
  <c r="G14" i="4" s="1"/>
  <c r="E13" i="4"/>
  <c r="D12" i="4"/>
  <c r="D11" i="4"/>
  <c r="G9" i="4"/>
  <c r="G10" i="4"/>
  <c r="K10" i="4" s="1"/>
  <c r="G11" i="4"/>
  <c r="G12" i="4"/>
  <c r="G13" i="4"/>
  <c r="G17" i="4"/>
  <c r="G18" i="4"/>
  <c r="G20" i="4"/>
  <c r="G8" i="4"/>
  <c r="F9" i="4"/>
  <c r="F10" i="4"/>
  <c r="F11" i="4"/>
  <c r="J11" i="4" s="1"/>
  <c r="F12" i="4"/>
  <c r="F13" i="4"/>
  <c r="F14" i="4"/>
  <c r="H14" i="4" s="1"/>
  <c r="F16" i="4"/>
  <c r="F17" i="4"/>
  <c r="F18" i="4"/>
  <c r="J18" i="4" s="1"/>
  <c r="F21" i="4"/>
  <c r="F22" i="4"/>
  <c r="F23" i="4"/>
  <c r="F8" i="4"/>
  <c r="E10" i="4"/>
  <c r="E9" i="4"/>
  <c r="D9" i="4"/>
  <c r="E8" i="4"/>
  <c r="D8" i="4"/>
  <c r="B20" i="4"/>
  <c r="B18" i="4"/>
  <c r="B17" i="4"/>
  <c r="B16" i="4"/>
  <c r="B15" i="4"/>
  <c r="B14" i="4"/>
  <c r="B13" i="4"/>
  <c r="B34" i="3"/>
  <c r="K19" i="3"/>
  <c r="I14" i="3"/>
  <c r="E16" i="3"/>
  <c r="B17" i="3"/>
  <c r="B33" i="3"/>
  <c r="K18" i="3"/>
  <c r="I13" i="3"/>
  <c r="F15" i="3"/>
  <c r="E15" i="3"/>
  <c r="C16" i="3"/>
  <c r="B16" i="3"/>
  <c r="C60" i="2"/>
  <c r="C59" i="2" s="1"/>
  <c r="C55" i="2"/>
  <c r="C54" i="2" s="1"/>
  <c r="F22" i="6" l="1"/>
  <c r="F19" i="6"/>
  <c r="G19" i="4"/>
  <c r="G15" i="4"/>
  <c r="C49" i="2"/>
  <c r="F22" i="1"/>
  <c r="E24" i="1" s="1"/>
  <c r="C42" i="2"/>
  <c r="C36" i="2"/>
  <c r="D37" i="2"/>
  <c r="D38" i="2" s="1"/>
  <c r="D39" i="2" s="1"/>
  <c r="C29" i="2"/>
  <c r="C30" i="2" s="1"/>
  <c r="C25" i="2"/>
  <c r="C24" i="2" s="1"/>
  <c r="C20" i="2"/>
  <c r="C19" i="2" s="1"/>
  <c r="F19" i="1" l="1"/>
  <c r="F8" i="1"/>
  <c r="F13" i="5" l="1"/>
  <c r="F16" i="5" s="1"/>
  <c r="F30" i="5" s="1"/>
  <c r="E33" i="6" l="1"/>
  <c r="F31" i="6" s="1"/>
  <c r="F36" i="6" s="1"/>
  <c r="H13" i="4"/>
  <c r="H22" i="4"/>
  <c r="J21" i="4"/>
  <c r="B23" i="4"/>
  <c r="B22" i="4"/>
  <c r="B21" i="4"/>
  <c r="C24" i="6"/>
  <c r="B12" i="4"/>
  <c r="B11" i="4"/>
  <c r="B10" i="4"/>
  <c r="B9" i="4"/>
  <c r="B8" i="4"/>
  <c r="H10" i="4"/>
  <c r="J17" i="4" l="1"/>
  <c r="F14" i="1"/>
  <c r="E16" i="1" s="1"/>
  <c r="C48" i="2"/>
  <c r="C43" i="2"/>
  <c r="K16" i="4" l="1"/>
  <c r="K12" i="4"/>
  <c r="D24" i="4" l="1"/>
  <c r="G24" i="4"/>
  <c r="H24" i="4"/>
  <c r="I26" i="4" s="1"/>
  <c r="E24" i="4"/>
  <c r="F24" i="4"/>
  <c r="H26" i="4" l="1"/>
  <c r="K26" i="4" l="1"/>
  <c r="F27" i="1"/>
  <c r="G26" i="1" s="1"/>
  <c r="G29" i="1" s="1"/>
</calcChain>
</file>

<file path=xl/sharedStrings.xml><?xml version="1.0" encoding="utf-8"?>
<sst xmlns="http://schemas.openxmlformats.org/spreadsheetml/2006/main" count="192" uniqueCount="120">
  <si>
    <t>Balance de Apertura</t>
  </si>
  <si>
    <t>(Expresado en Bolivianos)</t>
  </si>
  <si>
    <t>ACTIVO</t>
  </si>
  <si>
    <t>Caja M/N</t>
  </si>
  <si>
    <t>PATRIMONIO</t>
  </si>
  <si>
    <t>Capital Social</t>
  </si>
  <si>
    <t>TOTAL PASIVO Y PATRIMONIO</t>
  </si>
  <si>
    <t>CONTADOR</t>
  </si>
  <si>
    <t>LIBRO DIARIO (COMPROBANTES)</t>
  </si>
  <si>
    <t>FECHA</t>
  </si>
  <si>
    <t>DETALLE</t>
  </si>
  <si>
    <t>DEBE</t>
  </si>
  <si>
    <t>HABER</t>
  </si>
  <si>
    <t xml:space="preserve">     ------------ CT-01 ----------</t>
  </si>
  <si>
    <t>CAPITAL SOCIAL</t>
  </si>
  <si>
    <t xml:space="preserve">     ------------ CE-01 ----------</t>
  </si>
  <si>
    <t xml:space="preserve">     ------------ CT-02 ----------</t>
  </si>
  <si>
    <t xml:space="preserve">     ------------ CE-02 ----------</t>
  </si>
  <si>
    <t xml:space="preserve">     ------------ CE-03 ----------</t>
  </si>
  <si>
    <t>GERENTE</t>
  </si>
  <si>
    <t>Empresa: LOS ROBLES  LTDA.</t>
  </si>
  <si>
    <t>ACTIVO CORRIENTE</t>
  </si>
  <si>
    <t>Inventario de Mercadería</t>
  </si>
  <si>
    <t>ACTIVO NO CORRIENTE</t>
  </si>
  <si>
    <t>Vehículos</t>
  </si>
  <si>
    <t>TOTAL ACTIVO</t>
  </si>
  <si>
    <t>PASIVO</t>
  </si>
  <si>
    <t>PASIVO CORRIENTE</t>
  </si>
  <si>
    <t>PASIVO NO CORRIENTE</t>
  </si>
  <si>
    <t>TOTAL PASIVO</t>
  </si>
  <si>
    <t xml:space="preserve">     ------------ CI-01 ----------</t>
  </si>
  <si>
    <t>I.T.</t>
  </si>
  <si>
    <t>DEBITO FISCAL</t>
  </si>
  <si>
    <t>I.T. POR PAGAR</t>
  </si>
  <si>
    <t>CUENTAS POR PAGAR</t>
  </si>
  <si>
    <t>INVENTARIO DE MERCADERÍA</t>
  </si>
  <si>
    <t>CREDITO FISCAL</t>
  </si>
  <si>
    <t>VENTAS</t>
  </si>
  <si>
    <t>CAJA M/N</t>
  </si>
  <si>
    <t xml:space="preserve">     ------------ CE-04 ----------</t>
  </si>
  <si>
    <t xml:space="preserve">     ------------ CE-05 ----------</t>
  </si>
  <si>
    <t xml:space="preserve">     ------------ CE-06 ----------</t>
  </si>
  <si>
    <t>Cuentas por pagar</t>
  </si>
  <si>
    <t>BALANCE DE COMPROBACION DE SUMAS Y SALDOS</t>
  </si>
  <si>
    <t>NRO</t>
  </si>
  <si>
    <t>CUENTAS</t>
  </si>
  <si>
    <t>TIPO</t>
  </si>
  <si>
    <t>SUMAS</t>
  </si>
  <si>
    <t>SALDOS</t>
  </si>
  <si>
    <t>ESTADO DE RESULTADO</t>
  </si>
  <si>
    <t>BALANCE GENERAL</t>
  </si>
  <si>
    <t>DEUDOR</t>
  </si>
  <si>
    <t>ACREEDOR</t>
  </si>
  <si>
    <t>EGRESO/COSTO</t>
  </si>
  <si>
    <t>INGRESOS</t>
  </si>
  <si>
    <t>ACTIVOS</t>
  </si>
  <si>
    <t>PAS/PAT</t>
  </si>
  <si>
    <t>CAJA MN</t>
  </si>
  <si>
    <t>A</t>
  </si>
  <si>
    <t>PAT</t>
  </si>
  <si>
    <t>GASTOS LEGALES</t>
  </si>
  <si>
    <t>E</t>
  </si>
  <si>
    <t>I</t>
  </si>
  <si>
    <t>P</t>
  </si>
  <si>
    <t>DESCUENTO EN COMPRAS</t>
  </si>
  <si>
    <t>INVENTARIO DE MERCADERIAS</t>
  </si>
  <si>
    <t>SUMAS IGUALES</t>
  </si>
  <si>
    <t>RESULTADO DEL PERIODO</t>
  </si>
  <si>
    <t xml:space="preserve">              CAPITAL SOCIAL</t>
  </si>
  <si>
    <t>Glosa: Por inicio de actividad</t>
  </si>
  <si>
    <t>INVENTARIO DE MERCADERIA</t>
  </si>
  <si>
    <t>ESTADO DE RESULTADOS</t>
  </si>
  <si>
    <t>(Expresado en bolivianos)</t>
  </si>
  <si>
    <t>VENTAS NETAS</t>
  </si>
  <si>
    <t>Ventas</t>
  </si>
  <si>
    <t>(-)</t>
  </si>
  <si>
    <t>Devoluciones s/ventas</t>
  </si>
  <si>
    <t>Descuento s/ventas</t>
  </si>
  <si>
    <t>COSTO DE VENTAS</t>
  </si>
  <si>
    <t>Costo de ventas</t>
  </si>
  <si>
    <t>UTILIDAD BRUTA EN VENTAS</t>
  </si>
  <si>
    <t>GASTOS OPERATIVOS</t>
  </si>
  <si>
    <t>(+)</t>
  </si>
  <si>
    <t>OTROS INGRESOS</t>
  </si>
  <si>
    <t>PÉRDIDA DEL EJERCICIO</t>
  </si>
  <si>
    <t>GERENTE GENERAL</t>
  </si>
  <si>
    <t>DEL 01 AL 30 DE ABRIL DE 2023</t>
  </si>
  <si>
    <t>Del 01 al 30 de abril de 2023</t>
  </si>
  <si>
    <t>UTILIDAD NETA</t>
  </si>
  <si>
    <t>CAPITAL</t>
  </si>
  <si>
    <t>Al 30 de abril de 2023</t>
  </si>
  <si>
    <t>LIBRO MAYORES</t>
  </si>
  <si>
    <t>(EXPRESADO EN BOLIVIANOS)</t>
  </si>
  <si>
    <t>MANTENIMIENTO MUEBLES Y ENSERES</t>
  </si>
  <si>
    <t>Empresa: LOS ANGELES  S.A.</t>
  </si>
  <si>
    <t>Empresa: LOS ANGELES S.A.</t>
  </si>
  <si>
    <t>Prácticado al: 1 de Febrero del 2023</t>
  </si>
  <si>
    <t>Banco Mercantil Scz M/N</t>
  </si>
  <si>
    <t>BANCO Mercantil Scz M/N</t>
  </si>
  <si>
    <t>VEHÍCULOS</t>
  </si>
  <si>
    <t>Glosa: por compra de mercaderia según F-254</t>
  </si>
  <si>
    <t>Glosa: Por pago al abogado según F-545</t>
  </si>
  <si>
    <t>SEGURO PAGADO POR ADELANTADO</t>
  </si>
  <si>
    <t>por 1 año según F-2541</t>
  </si>
  <si>
    <t xml:space="preserve">Glosa: por pago de seguro a BISA SEGUROS </t>
  </si>
  <si>
    <t>Glosa: Por Venta de mercadería según F-0001</t>
  </si>
  <si>
    <t xml:space="preserve">Glosa: por refacción de edificio al pintor segun F-34 </t>
  </si>
  <si>
    <t>SEGÚN CONDICION 5/10 N/30 INDICA QUE NOS ESTA VENDIENDO A CREDITO Y POT LO TANTO ES UNA CUENTA DE TRASPASO</t>
  </si>
  <si>
    <t xml:space="preserve">Glosa: Por compra de mercaderia a Opal </t>
  </si>
  <si>
    <t>según condicion 5/10 n/30 del negocio según F-644</t>
  </si>
  <si>
    <t>Desceunto financiero</t>
  </si>
  <si>
    <t>ASEO Y LIMPIEZA</t>
  </si>
  <si>
    <t>Glosa: Por compra de material de limpieza según F-879</t>
  </si>
  <si>
    <t>ENERGIA ELECTRICA</t>
  </si>
  <si>
    <t>Glosa: Por pago de energia electrica según factura F-</t>
  </si>
  <si>
    <t>DEL 01 AL 28 FEBRERO DE 2023</t>
  </si>
  <si>
    <t>DEL 01 AL 28 DE FEBRERO DE 2023</t>
  </si>
  <si>
    <t xml:space="preserve">DEBITO FISCAL </t>
  </si>
  <si>
    <t>I.T</t>
  </si>
  <si>
    <t>MENTENIIENTO DE MUEBLES Y ENSERES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</si>
</sst>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4" fillId="0" borderId="0" applyFont="0" applyFill="0" applyBorder="0" applyAlignment="0" applyProtection="0"/>
    <xf numFmtId="0" fontId="10" fillId="0" borderId="0"/>
    <xf numFmtId="9" fontId="4" fillId="0" borderId="0" applyFont="0" applyFill="0" applyBorder="0" applyAlignment="0" applyProtection="0"/>
  </cellStyleXfs>
  <cellXfs count="117">
    <xf numFmtId="0" fontId="0" fillId="0" borderId="0" xfId="0"/>
    <xf numFmtId="0" fontId="1" fillId="0" borderId="0" xfId="0" applyFont="1"/>
    <xf numFmtId="0" fontId="3" fillId="0" borderId="0" xfId="0" applyFont="1"/>
    <xf numFmtId="2" fontId="0" fillId="0" borderId="0" xfId="0" applyNumberFormat="1"/>
    <xf numFmtId="43" fontId="0" fillId="0" borderId="0" xfId="0" applyNumberFormat="1"/>
    <xf numFmtId="2" fontId="1" fillId="0" borderId="0" xfId="0" applyNumberFormat="1" applyFont="1"/>
    <xf numFmtId="0" fontId="1" fillId="0" borderId="0" xfId="0" applyFont="1" applyAlignment="1">
      <alignment horizontal="center"/>
    </xf>
    <xf numFmtId="4" fontId="0" fillId="0" borderId="0" xfId="0" applyNumberFormat="1"/>
    <xf numFmtId="0" fontId="1" fillId="0" borderId="3" xfId="0" applyFont="1" applyBorder="1" applyAlignment="1">
      <alignment horizontal="center" vertical="center"/>
    </xf>
    <xf numFmtId="4" fontId="1" fillId="0" borderId="3" xfId="0" applyNumberFormat="1" applyFont="1" applyBorder="1" applyAlignment="1">
      <alignment horizontal="center" vertical="center"/>
    </xf>
    <xf numFmtId="14" fontId="0" fillId="0" borderId="3" xfId="0" applyNumberFormat="1" applyBorder="1"/>
    <xf numFmtId="0" fontId="0" fillId="0" borderId="3" xfId="0" applyBorder="1"/>
    <xf numFmtId="4" fontId="0" fillId="0" borderId="3" xfId="0" applyNumberFormat="1" applyBorder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4" fontId="6" fillId="0" borderId="0" xfId="0" applyNumberFormat="1" applyFont="1"/>
    <xf numFmtId="4" fontId="7" fillId="0" borderId="0" xfId="0" applyNumberFormat="1" applyFont="1"/>
    <xf numFmtId="4" fontId="6" fillId="0" borderId="2" xfId="0" applyNumberFormat="1" applyFont="1" applyBorder="1"/>
    <xf numFmtId="4" fontId="6" fillId="0" borderId="0" xfId="0" applyNumberFormat="1" applyFont="1" applyBorder="1"/>
    <xf numFmtId="4" fontId="6" fillId="0" borderId="1" xfId="0" applyNumberFormat="1" applyFont="1" applyBorder="1"/>
    <xf numFmtId="4" fontId="1" fillId="0" borderId="0" xfId="0" applyNumberFormat="1" applyFont="1"/>
    <xf numFmtId="0" fontId="0" fillId="0" borderId="3" xfId="0" applyBorder="1" applyAlignment="1">
      <alignment horizontal="left"/>
    </xf>
    <xf numFmtId="0" fontId="0" fillId="0" borderId="6" xfId="0" applyFill="1" applyBorder="1"/>
    <xf numFmtId="0" fontId="0" fillId="0" borderId="3" xfId="0" applyBorder="1" applyAlignment="1">
      <alignment horizontal="center" vertical="center"/>
    </xf>
    <xf numFmtId="4" fontId="0" fillId="0" borderId="7" xfId="0" applyNumberFormat="1" applyBorder="1"/>
    <xf numFmtId="4" fontId="1" fillId="2" borderId="4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1" fillId="0" borderId="14" xfId="0" applyFont="1" applyBorder="1" applyAlignment="1">
      <alignment horizontal="center" vertical="center"/>
    </xf>
    <xf numFmtId="4" fontId="1" fillId="0" borderId="3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4" fontId="1" fillId="0" borderId="3" xfId="0" applyNumberFormat="1" applyFont="1" applyBorder="1" applyAlignment="1">
      <alignment horizontal="center"/>
    </xf>
    <xf numFmtId="4" fontId="1" fillId="3" borderId="3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4" fontId="0" fillId="3" borderId="3" xfId="0" applyNumberFormat="1" applyFill="1" applyBorder="1"/>
    <xf numFmtId="0" fontId="1" fillId="0" borderId="3" xfId="0" applyFont="1" applyBorder="1"/>
    <xf numFmtId="4" fontId="1" fillId="0" borderId="3" xfId="0" applyNumberFormat="1" applyFont="1" applyBorder="1"/>
    <xf numFmtId="4" fontId="1" fillId="3" borderId="3" xfId="0" applyNumberFormat="1" applyFont="1" applyFill="1" applyBorder="1"/>
    <xf numFmtId="0" fontId="1" fillId="0" borderId="5" xfId="0" applyFont="1" applyBorder="1" applyAlignment="1">
      <alignment horizontal="center"/>
    </xf>
    <xf numFmtId="4" fontId="1" fillId="2" borderId="3" xfId="0" applyNumberFormat="1" applyFont="1" applyFill="1" applyBorder="1"/>
    <xf numFmtId="4" fontId="0" fillId="4" borderId="3" xfId="0" applyNumberFormat="1" applyFill="1" applyBorder="1"/>
    <xf numFmtId="0" fontId="0" fillId="0" borderId="3" xfId="0" applyFont="1" applyBorder="1" applyAlignment="1">
      <alignment horizontal="center"/>
    </xf>
    <xf numFmtId="4" fontId="0" fillId="4" borderId="8" xfId="0" applyNumberFormat="1" applyFill="1" applyBorder="1"/>
    <xf numFmtId="4" fontId="0" fillId="4" borderId="7" xfId="0" applyNumberFormat="1" applyFill="1" applyBorder="1"/>
    <xf numFmtId="0" fontId="0" fillId="0" borderId="11" xfId="0" applyBorder="1"/>
    <xf numFmtId="4" fontId="1" fillId="0" borderId="7" xfId="0" applyNumberFormat="1" applyFont="1" applyBorder="1"/>
    <xf numFmtId="4" fontId="0" fillId="2" borderId="11" xfId="0" applyNumberFormat="1" applyFill="1" applyBorder="1"/>
    <xf numFmtId="4" fontId="1" fillId="2" borderId="7" xfId="0" applyNumberFormat="1" applyFont="1" applyFill="1" applyBorder="1" applyAlignment="1">
      <alignment horizontal="center" vertical="center"/>
    </xf>
    <xf numFmtId="4" fontId="1" fillId="2" borderId="8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2" fontId="1" fillId="3" borderId="3" xfId="0" applyNumberFormat="1" applyFont="1" applyFill="1" applyBorder="1"/>
    <xf numFmtId="2" fontId="1" fillId="2" borderId="3" xfId="0" applyNumberFormat="1" applyFont="1" applyFill="1" applyBorder="1"/>
    <xf numFmtId="2" fontId="1" fillId="0" borderId="3" xfId="0" applyNumberFormat="1" applyFont="1" applyBorder="1"/>
    <xf numFmtId="0" fontId="1" fillId="0" borderId="0" xfId="0" applyFont="1" applyBorder="1" applyAlignment="1">
      <alignment horizontal="center"/>
    </xf>
    <xf numFmtId="4" fontId="1" fillId="0" borderId="2" xfId="0" applyNumberFormat="1" applyFont="1" applyBorder="1" applyAlignment="1">
      <alignment horizontal="center"/>
    </xf>
    <xf numFmtId="0" fontId="0" fillId="0" borderId="0" xfId="0"/>
    <xf numFmtId="0" fontId="0" fillId="0" borderId="0" xfId="0"/>
    <xf numFmtId="0" fontId="1" fillId="0" borderId="0" xfId="0" applyFont="1"/>
    <xf numFmtId="4" fontId="0" fillId="0" borderId="0" xfId="0" applyNumberFormat="1"/>
    <xf numFmtId="4" fontId="1" fillId="0" borderId="0" xfId="0" applyNumberFormat="1" applyFont="1"/>
    <xf numFmtId="4" fontId="0" fillId="0" borderId="4" xfId="0" applyNumberFormat="1" applyBorder="1"/>
    <xf numFmtId="0" fontId="1" fillId="0" borderId="0" xfId="0" applyFont="1" applyAlignment="1">
      <alignment horizontal="center"/>
    </xf>
    <xf numFmtId="0" fontId="5" fillId="0" borderId="0" xfId="0" applyFont="1"/>
    <xf numFmtId="4" fontId="5" fillId="0" borderId="0" xfId="0" applyNumberFormat="1" applyFont="1"/>
    <xf numFmtId="4" fontId="11" fillId="0" borderId="0" xfId="0" applyNumberFormat="1" applyFont="1"/>
    <xf numFmtId="4" fontId="1" fillId="0" borderId="4" xfId="0" applyNumberFormat="1" applyFont="1" applyBorder="1"/>
    <xf numFmtId="4" fontId="1" fillId="2" borderId="1" xfId="0" applyNumberFormat="1" applyFont="1" applyFill="1" applyBorder="1"/>
    <xf numFmtId="0" fontId="0" fillId="0" borderId="0" xfId="0"/>
    <xf numFmtId="0" fontId="1" fillId="0" borderId="0" xfId="0" applyFont="1"/>
    <xf numFmtId="0" fontId="0" fillId="0" borderId="3" xfId="0" applyBorder="1"/>
    <xf numFmtId="0" fontId="7" fillId="0" borderId="0" xfId="0" applyFont="1"/>
    <xf numFmtId="4" fontId="0" fillId="0" borderId="0" xfId="0" applyNumberFormat="1"/>
    <xf numFmtId="4" fontId="1" fillId="0" borderId="0" xfId="0" applyNumberFormat="1" applyFont="1"/>
    <xf numFmtId="4" fontId="0" fillId="0" borderId="4" xfId="0" applyNumberFormat="1" applyBorder="1"/>
    <xf numFmtId="4" fontId="0" fillId="0" borderId="3" xfId="0" applyNumberFormat="1" applyBorder="1"/>
    <xf numFmtId="0" fontId="1" fillId="0" borderId="0" xfId="0" applyFont="1" applyAlignment="1">
      <alignment horizontal="center"/>
    </xf>
    <xf numFmtId="0" fontId="0" fillId="0" borderId="3" xfId="0" applyBorder="1" applyAlignment="1">
      <alignment horizontal="left"/>
    </xf>
    <xf numFmtId="4" fontId="1" fillId="0" borderId="8" xfId="0" applyNumberFormat="1" applyFont="1" applyBorder="1"/>
    <xf numFmtId="4" fontId="0" fillId="0" borderId="8" xfId="0" applyNumberFormat="1" applyBorder="1"/>
    <xf numFmtId="0" fontId="0" fillId="0" borderId="3" xfId="0" applyBorder="1" applyAlignment="1">
      <alignment horizontal="center"/>
    </xf>
    <xf numFmtId="4" fontId="1" fillId="2" borderId="1" xfId="0" applyNumberFormat="1" applyFont="1" applyFill="1" applyBorder="1"/>
    <xf numFmtId="4" fontId="5" fillId="0" borderId="4" xfId="0" applyNumberFormat="1" applyFont="1" applyBorder="1"/>
    <xf numFmtId="0" fontId="0" fillId="5" borderId="0" xfId="0" applyFill="1"/>
    <xf numFmtId="4" fontId="1" fillId="0" borderId="0" xfId="0" applyNumberFormat="1" applyFont="1" applyFill="1" applyBorder="1" applyAlignment="1">
      <alignment horizontal="center" vertical="center"/>
    </xf>
    <xf numFmtId="4" fontId="0" fillId="0" borderId="0" xfId="0" applyNumberFormat="1" applyFill="1" applyBorder="1"/>
    <xf numFmtId="4" fontId="1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center" vertical="center"/>
    </xf>
    <xf numFmtId="4" fontId="8" fillId="0" borderId="0" xfId="0" applyNumberFormat="1" applyFont="1" applyFill="1" applyBorder="1" applyAlignment="1">
      <alignment horizontal="center" vertical="center"/>
    </xf>
    <xf numFmtId="4" fontId="9" fillId="0" borderId="0" xfId="0" applyNumberFormat="1" applyFont="1" applyFill="1" applyBorder="1" applyAlignment="1">
      <alignment horizontal="center" vertical="center"/>
    </xf>
    <xf numFmtId="0" fontId="12" fillId="0" borderId="0" xfId="0" applyFont="1" applyFill="1" applyBorder="1"/>
    <xf numFmtId="0" fontId="0" fillId="0" borderId="11" xfId="0" applyFill="1" applyBorder="1"/>
    <xf numFmtId="4" fontId="0" fillId="4" borderId="12" xfId="0" applyNumberFormat="1" applyFill="1" applyBorder="1"/>
    <xf numFmtId="4" fontId="0" fillId="4" borderId="13" xfId="0" applyNumberFormat="1" applyFill="1" applyBorder="1"/>
    <xf numFmtId="4" fontId="0" fillId="0" borderId="7" xfId="0" applyNumberFormat="1" applyFill="1" applyBorder="1"/>
    <xf numFmtId="4" fontId="1" fillId="0" borderId="10" xfId="0" applyNumberFormat="1" applyFont="1" applyFill="1" applyBorder="1"/>
    <xf numFmtId="4" fontId="1" fillId="0" borderId="11" xfId="0" applyNumberFormat="1" applyFont="1" applyFill="1" applyBorder="1"/>
    <xf numFmtId="0" fontId="0" fillId="0" borderId="7" xfId="0" applyFill="1" applyBorder="1"/>
    <xf numFmtId="0" fontId="0" fillId="0" borderId="10" xfId="0" applyFill="1" applyBorder="1"/>
    <xf numFmtId="0" fontId="0" fillId="0" borderId="8" xfId="0" applyFill="1" applyBorder="1"/>
    <xf numFmtId="4" fontId="1" fillId="2" borderId="12" xfId="0" applyNumberFormat="1" applyFont="1" applyFill="1" applyBorder="1" applyAlignment="1">
      <alignment horizontal="center" vertical="center"/>
    </xf>
    <xf numFmtId="4" fontId="1" fillId="2" borderId="13" xfId="0" applyNumberFormat="1" applyFont="1" applyFill="1" applyBorder="1" applyAlignment="1">
      <alignment horizontal="center" vertical="center"/>
    </xf>
    <xf numFmtId="4" fontId="8" fillId="2" borderId="12" xfId="0" applyNumberFormat="1" applyFont="1" applyFill="1" applyBorder="1" applyAlignment="1">
      <alignment horizontal="center" vertical="center"/>
    </xf>
    <xf numFmtId="4" fontId="8" fillId="2" borderId="13" xfId="0" applyNumberFormat="1" applyFont="1" applyFill="1" applyBorder="1" applyAlignment="1">
      <alignment horizontal="center" vertical="center"/>
    </xf>
    <xf numFmtId="4" fontId="9" fillId="2" borderId="7" xfId="0" applyNumberFormat="1" applyFont="1" applyFill="1" applyBorder="1" applyAlignment="1">
      <alignment horizontal="center" vertical="center"/>
    </xf>
    <xf numFmtId="4" fontId="9" fillId="2" borderId="8" xfId="0" applyNumberFormat="1" applyFont="1" applyFill="1" applyBorder="1" applyAlignment="1">
      <alignment horizontal="center" vertical="center"/>
    </xf>
    <xf numFmtId="0" fontId="1" fillId="0" borderId="7" xfId="0" applyFont="1" applyBorder="1"/>
    <xf numFmtId="4" fontId="1" fillId="0" borderId="8" xfId="0" applyNumberFormat="1" applyFont="1" applyFill="1" applyBorder="1"/>
    <xf numFmtId="4" fontId="1" fillId="0" borderId="7" xfId="0" applyNumberFormat="1" applyFont="1" applyFill="1" applyBorder="1"/>
    <xf numFmtId="4" fontId="0" fillId="2" borderId="10" xfId="0" applyNumberFormat="1" applyFill="1" applyBorder="1"/>
    <xf numFmtId="4" fontId="1" fillId="2" borderId="10" xfId="0" applyNumberFormat="1" applyFont="1" applyFill="1" applyBorder="1"/>
  </cellXfs>
  <cellStyles count="4">
    <cellStyle name="Normal" xfId="0" builtinId="0"/>
    <cellStyle name="Normal 2" xfId="2" xr:uid="{E9C81742-617D-45E7-BAD8-A51E14E020F5}"/>
    <cellStyle name="Porcentaje 2" xfId="3" xr:uid="{826D2B37-E42C-43EA-ABF8-AAA8454181CC}"/>
    <cellStyle name="Porcentaje 3" xfId="1" xr:uid="{FDEF5E99-DCBF-41C8-B431-BFFFBC760E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C2346-70F7-4271-81DB-64C1E111656B}">
  <dimension ref="B1:G34"/>
  <sheetViews>
    <sheetView topLeftCell="A5" zoomScale="125" workbookViewId="0">
      <selection activeCell="F23" sqref="F23"/>
    </sheetView>
  </sheetViews>
  <sheetFormatPr baseColWidth="10" defaultRowHeight="14.4" x14ac:dyDescent="0.3"/>
  <cols>
    <col min="1" max="1" width="5.21875" customWidth="1"/>
    <col min="2" max="2" width="4.33203125" customWidth="1"/>
    <col min="3" max="3" width="21.44140625" customWidth="1"/>
  </cols>
  <sheetData>
    <row r="1" spans="2:7" x14ac:dyDescent="0.3">
      <c r="C1" s="1" t="s">
        <v>95</v>
      </c>
    </row>
    <row r="3" spans="2:7" ht="18" x14ac:dyDescent="0.35">
      <c r="C3" s="18" t="s">
        <v>0</v>
      </c>
      <c r="D3" s="18"/>
      <c r="E3" s="18"/>
      <c r="F3" s="18"/>
      <c r="G3" s="18"/>
    </row>
    <row r="4" spans="2:7" ht="18" x14ac:dyDescent="0.35">
      <c r="C4" s="18" t="s">
        <v>96</v>
      </c>
      <c r="D4" s="18"/>
      <c r="E4" s="18"/>
      <c r="F4" s="18"/>
      <c r="G4" s="18"/>
    </row>
    <row r="5" spans="2:7" ht="18" x14ac:dyDescent="0.35">
      <c r="C5" s="18" t="s">
        <v>1</v>
      </c>
      <c r="D5" s="18"/>
      <c r="E5" s="18"/>
      <c r="F5" s="18"/>
      <c r="G5" s="18"/>
    </row>
    <row r="7" spans="2:7" x14ac:dyDescent="0.3">
      <c r="B7" s="2" t="s">
        <v>2</v>
      </c>
    </row>
    <row r="8" spans="2:7" x14ac:dyDescent="0.3">
      <c r="B8" s="2"/>
      <c r="C8" s="19" t="s">
        <v>21</v>
      </c>
      <c r="D8" s="20"/>
      <c r="F8" s="26">
        <f>SUM(E10:E12)</f>
        <v>300000</v>
      </c>
    </row>
    <row r="9" spans="2:7" ht="3.6" customHeight="1" x14ac:dyDescent="0.3">
      <c r="B9" s="2"/>
      <c r="C9" s="20"/>
      <c r="D9" s="20"/>
    </row>
    <row r="10" spans="2:7" s="74" customFormat="1" ht="12" customHeight="1" x14ac:dyDescent="0.3">
      <c r="B10" s="2"/>
      <c r="C10" s="77" t="s">
        <v>3</v>
      </c>
      <c r="D10" s="77"/>
      <c r="E10" s="22">
        <v>100000</v>
      </c>
    </row>
    <row r="11" spans="2:7" x14ac:dyDescent="0.3">
      <c r="B11" s="2"/>
      <c r="C11" s="20" t="s">
        <v>97</v>
      </c>
      <c r="D11" s="20"/>
      <c r="E11" s="22">
        <v>120000</v>
      </c>
    </row>
    <row r="12" spans="2:7" x14ac:dyDescent="0.3">
      <c r="B12" s="2"/>
      <c r="C12" s="20" t="s">
        <v>22</v>
      </c>
      <c r="D12" s="20"/>
      <c r="E12" s="22">
        <v>80000</v>
      </c>
    </row>
    <row r="13" spans="2:7" ht="7.2" customHeight="1" x14ac:dyDescent="0.3">
      <c r="B13" s="2"/>
      <c r="C13" s="20"/>
      <c r="D13" s="20"/>
      <c r="E13" s="22"/>
    </row>
    <row r="14" spans="2:7" x14ac:dyDescent="0.3">
      <c r="B14" s="2"/>
      <c r="C14" s="19" t="s">
        <v>23</v>
      </c>
      <c r="D14" s="20"/>
      <c r="E14" s="22"/>
      <c r="F14" s="26">
        <f>SUM(E15)</f>
        <v>95000</v>
      </c>
    </row>
    <row r="15" spans="2:7" x14ac:dyDescent="0.3">
      <c r="B15" s="2"/>
      <c r="C15" s="77" t="s">
        <v>24</v>
      </c>
      <c r="D15" s="20"/>
      <c r="E15" s="22">
        <v>95000</v>
      </c>
    </row>
    <row r="16" spans="2:7" x14ac:dyDescent="0.3">
      <c r="C16" s="19" t="s">
        <v>25</v>
      </c>
      <c r="D16" s="20"/>
      <c r="E16" s="23">
        <f>SUM(F8+F14)</f>
        <v>395000</v>
      </c>
    </row>
    <row r="17" spans="2:7" ht="7.2" customHeight="1" x14ac:dyDescent="0.3">
      <c r="C17" s="19"/>
      <c r="D17" s="20"/>
      <c r="E17" s="24"/>
    </row>
    <row r="18" spans="2:7" x14ac:dyDescent="0.3">
      <c r="B18" s="19" t="s">
        <v>26</v>
      </c>
      <c r="C18" s="20"/>
      <c r="D18" s="20"/>
      <c r="E18" s="22"/>
    </row>
    <row r="19" spans="2:7" x14ac:dyDescent="0.3">
      <c r="B19" s="19"/>
      <c r="C19" s="19" t="s">
        <v>27</v>
      </c>
      <c r="D19" s="20"/>
      <c r="E19" s="22"/>
      <c r="F19" s="26">
        <f>SUM(E20)</f>
        <v>0</v>
      </c>
    </row>
    <row r="20" spans="2:7" x14ac:dyDescent="0.3">
      <c r="B20" s="19"/>
      <c r="C20" s="20"/>
      <c r="D20" s="20"/>
      <c r="E20" s="22">
        <v>0</v>
      </c>
    </row>
    <row r="21" spans="2:7" ht="6" customHeight="1" x14ac:dyDescent="0.3">
      <c r="B21" s="19"/>
      <c r="C21" s="20"/>
      <c r="D21" s="20"/>
      <c r="E21" s="22"/>
    </row>
    <row r="22" spans="2:7" x14ac:dyDescent="0.3">
      <c r="B22" s="19"/>
      <c r="C22" s="19" t="s">
        <v>28</v>
      </c>
      <c r="D22" s="20"/>
      <c r="E22" s="22"/>
      <c r="F22" s="26">
        <f>SUM(E23)</f>
        <v>75000</v>
      </c>
    </row>
    <row r="23" spans="2:7" x14ac:dyDescent="0.3">
      <c r="B23" s="19"/>
      <c r="C23" s="77" t="s">
        <v>42</v>
      </c>
      <c r="D23" s="20"/>
      <c r="E23" s="22">
        <v>75000</v>
      </c>
    </row>
    <row r="24" spans="2:7" x14ac:dyDescent="0.3">
      <c r="B24" s="19"/>
      <c r="C24" s="19" t="s">
        <v>29</v>
      </c>
      <c r="D24" s="20"/>
      <c r="E24" s="23">
        <f>SUM(F19+F22)</f>
        <v>75000</v>
      </c>
    </row>
    <row r="25" spans="2:7" x14ac:dyDescent="0.3">
      <c r="B25" s="19"/>
      <c r="C25" s="19"/>
      <c r="D25" s="20"/>
      <c r="E25" s="22"/>
    </row>
    <row r="26" spans="2:7" x14ac:dyDescent="0.3">
      <c r="C26" s="1" t="s">
        <v>4</v>
      </c>
      <c r="G26" s="21">
        <f>F27</f>
        <v>320000</v>
      </c>
    </row>
    <row r="27" spans="2:7" x14ac:dyDescent="0.3">
      <c r="C27" t="s">
        <v>5</v>
      </c>
      <c r="E27" s="3"/>
      <c r="F27" s="4">
        <f>SUM(E16-E24)</f>
        <v>320000</v>
      </c>
    </row>
    <row r="29" spans="2:7" ht="15" thickBot="1" x14ac:dyDescent="0.35">
      <c r="C29" s="17" t="s">
        <v>6</v>
      </c>
      <c r="D29" s="17"/>
      <c r="E29" s="17"/>
      <c r="F29" s="17"/>
      <c r="G29" s="25">
        <f>SUM(E24+G26)</f>
        <v>395000</v>
      </c>
    </row>
    <row r="30" spans="2:7" ht="15" thickTop="1" x14ac:dyDescent="0.3">
      <c r="C30" s="6"/>
      <c r="D30" s="6"/>
      <c r="E30" s="6"/>
      <c r="F30" s="6"/>
      <c r="G30" s="5"/>
    </row>
    <row r="34" spans="3:7" x14ac:dyDescent="0.3">
      <c r="C34" s="16" t="s">
        <v>7</v>
      </c>
      <c r="D34" s="16"/>
      <c r="E34" s="6"/>
      <c r="F34" s="16" t="s">
        <v>19</v>
      </c>
      <c r="G34" s="16"/>
    </row>
  </sheetData>
  <mergeCells count="6">
    <mergeCell ref="C34:D34"/>
    <mergeCell ref="C3:G3"/>
    <mergeCell ref="C4:G4"/>
    <mergeCell ref="C5:G5"/>
    <mergeCell ref="C29:F29"/>
    <mergeCell ref="F34:G34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E34BF-C2A9-4E4B-A02C-0DA16C1501AF}">
  <dimension ref="A1:P70"/>
  <sheetViews>
    <sheetView topLeftCell="A40" workbookViewId="0">
      <selection activeCell="B53" sqref="B53"/>
    </sheetView>
  </sheetViews>
  <sheetFormatPr baseColWidth="10" defaultRowHeight="14.4" x14ac:dyDescent="0.3"/>
  <cols>
    <col min="2" max="2" width="44.21875" customWidth="1"/>
  </cols>
  <sheetData>
    <row r="1" spans="1:7" s="74" customFormat="1" x14ac:dyDescent="0.3">
      <c r="A1" s="75" t="s">
        <v>95</v>
      </c>
      <c r="D1" s="78"/>
      <c r="E1" s="78"/>
      <c r="F1" s="78"/>
      <c r="G1" s="78"/>
    </row>
    <row r="2" spans="1:7" s="74" customFormat="1" x14ac:dyDescent="0.3">
      <c r="A2" s="17" t="s">
        <v>8</v>
      </c>
      <c r="B2" s="17"/>
      <c r="C2" s="17"/>
      <c r="D2" s="17"/>
      <c r="E2" s="82"/>
      <c r="F2" s="82"/>
      <c r="G2" s="82"/>
    </row>
    <row r="3" spans="1:7" s="74" customFormat="1" x14ac:dyDescent="0.3">
      <c r="A3" s="17" t="s">
        <v>115</v>
      </c>
      <c r="B3" s="17"/>
      <c r="C3" s="17"/>
      <c r="D3" s="17"/>
      <c r="E3" s="82"/>
      <c r="F3" s="82"/>
      <c r="G3" s="82"/>
    </row>
    <row r="4" spans="1:7" s="74" customFormat="1" x14ac:dyDescent="0.3">
      <c r="A4" s="17" t="s">
        <v>92</v>
      </c>
      <c r="B4" s="17"/>
      <c r="C4" s="17"/>
      <c r="D4" s="17"/>
      <c r="E4" s="82"/>
      <c r="F4" s="82"/>
      <c r="G4" s="82"/>
    </row>
    <row r="5" spans="1:7" s="74" customFormat="1" x14ac:dyDescent="0.3"/>
    <row r="6" spans="1:7" s="74" customFormat="1" x14ac:dyDescent="0.3"/>
    <row r="7" spans="1:7" x14ac:dyDescent="0.3">
      <c r="F7" s="12"/>
    </row>
    <row r="8" spans="1:7" x14ac:dyDescent="0.3">
      <c r="C8" s="7"/>
      <c r="D8" s="7"/>
    </row>
    <row r="9" spans="1:7" x14ac:dyDescent="0.3">
      <c r="A9" s="8" t="s">
        <v>9</v>
      </c>
      <c r="B9" s="8" t="s">
        <v>10</v>
      </c>
      <c r="C9" s="9" t="s">
        <v>11</v>
      </c>
      <c r="D9" s="9" t="s">
        <v>12</v>
      </c>
    </row>
    <row r="10" spans="1:7" x14ac:dyDescent="0.3">
      <c r="A10" s="10">
        <v>44958</v>
      </c>
      <c r="B10" s="48" t="s">
        <v>13</v>
      </c>
      <c r="C10" s="12"/>
      <c r="D10" s="12"/>
    </row>
    <row r="11" spans="1:7" x14ac:dyDescent="0.3">
      <c r="A11" s="11"/>
      <c r="B11" s="11" t="s">
        <v>38</v>
      </c>
      <c r="C11" s="47">
        <v>100000</v>
      </c>
      <c r="D11" s="47"/>
    </row>
    <row r="12" spans="1:7" x14ac:dyDescent="0.3">
      <c r="A12" s="11"/>
      <c r="B12" s="11" t="s">
        <v>98</v>
      </c>
      <c r="C12" s="47">
        <v>120000</v>
      </c>
      <c r="D12" s="47"/>
    </row>
    <row r="13" spans="1:7" x14ac:dyDescent="0.3">
      <c r="A13" s="11"/>
      <c r="B13" s="77" t="s">
        <v>35</v>
      </c>
      <c r="C13" s="47">
        <v>80000</v>
      </c>
      <c r="D13" s="47"/>
    </row>
    <row r="14" spans="1:7" x14ac:dyDescent="0.3">
      <c r="A14" s="11"/>
      <c r="B14" s="11" t="s">
        <v>99</v>
      </c>
      <c r="C14" s="47">
        <v>95000</v>
      </c>
      <c r="D14" s="47"/>
    </row>
    <row r="15" spans="1:7" x14ac:dyDescent="0.3">
      <c r="A15" s="11"/>
      <c r="B15" s="14" t="s">
        <v>34</v>
      </c>
      <c r="C15" s="47"/>
      <c r="D15" s="47">
        <v>75000</v>
      </c>
    </row>
    <row r="16" spans="1:7" x14ac:dyDescent="0.3">
      <c r="A16" s="11"/>
      <c r="B16" s="14" t="s">
        <v>68</v>
      </c>
      <c r="C16" s="47"/>
      <c r="D16" s="47">
        <v>320000</v>
      </c>
    </row>
    <row r="17" spans="1:16" x14ac:dyDescent="0.3">
      <c r="A17" s="10"/>
      <c r="B17" s="27" t="s">
        <v>69</v>
      </c>
      <c r="C17" s="47"/>
      <c r="D17" s="47"/>
    </row>
    <row r="18" spans="1:16" x14ac:dyDescent="0.3">
      <c r="A18" s="10">
        <v>44959</v>
      </c>
      <c r="B18" s="13" t="s">
        <v>15</v>
      </c>
      <c r="C18" s="12"/>
      <c r="D18" s="12"/>
      <c r="J18" s="75"/>
      <c r="K18" s="74"/>
      <c r="L18" s="74"/>
      <c r="M18" s="78"/>
      <c r="N18" s="78"/>
      <c r="O18" s="78"/>
      <c r="P18" s="78"/>
    </row>
    <row r="19" spans="1:16" x14ac:dyDescent="0.3">
      <c r="A19" s="11"/>
      <c r="B19" s="76" t="s">
        <v>60</v>
      </c>
      <c r="C19" s="12">
        <f>D21-C20</f>
        <v>6960</v>
      </c>
      <c r="D19" s="12"/>
      <c r="J19" s="17"/>
      <c r="K19" s="17"/>
      <c r="L19" s="17"/>
      <c r="M19" s="17"/>
      <c r="N19" s="17"/>
      <c r="O19" s="17"/>
      <c r="P19" s="17"/>
    </row>
    <row r="20" spans="1:16" x14ac:dyDescent="0.3">
      <c r="A20" s="11"/>
      <c r="B20" s="27" t="s">
        <v>36</v>
      </c>
      <c r="C20" s="12">
        <f>D21*13%</f>
        <v>1040</v>
      </c>
      <c r="D20" s="12"/>
      <c r="J20" s="17"/>
      <c r="K20" s="17"/>
      <c r="L20" s="17"/>
      <c r="M20" s="17"/>
      <c r="N20" s="17"/>
      <c r="O20" s="17"/>
      <c r="P20" s="17"/>
    </row>
    <row r="21" spans="1:16" x14ac:dyDescent="0.3">
      <c r="A21" s="11"/>
      <c r="B21" s="14" t="s">
        <v>38</v>
      </c>
      <c r="C21" s="12"/>
      <c r="D21" s="12">
        <v>8000</v>
      </c>
      <c r="J21" s="17"/>
      <c r="K21" s="17"/>
      <c r="L21" s="17"/>
      <c r="M21" s="17"/>
      <c r="N21" s="17"/>
      <c r="O21" s="17"/>
      <c r="P21" s="17"/>
    </row>
    <row r="22" spans="1:16" x14ac:dyDescent="0.3">
      <c r="A22" s="11"/>
      <c r="B22" s="11" t="s">
        <v>101</v>
      </c>
      <c r="C22" s="12"/>
      <c r="D22" s="12"/>
    </row>
    <row r="23" spans="1:16" x14ac:dyDescent="0.3">
      <c r="A23" s="10">
        <v>44960</v>
      </c>
      <c r="B23" s="13" t="s">
        <v>17</v>
      </c>
      <c r="C23" s="12"/>
      <c r="D23" s="12"/>
    </row>
    <row r="24" spans="1:16" x14ac:dyDescent="0.3">
      <c r="A24" s="11"/>
      <c r="B24" s="11" t="s">
        <v>35</v>
      </c>
      <c r="C24" s="12">
        <f>D26-C25</f>
        <v>4872</v>
      </c>
      <c r="D24" s="12"/>
    </row>
    <row r="25" spans="1:16" s="74" customFormat="1" x14ac:dyDescent="0.3">
      <c r="A25" s="76"/>
      <c r="B25" s="76" t="s">
        <v>36</v>
      </c>
      <c r="C25" s="81">
        <f>D26*13%</f>
        <v>728</v>
      </c>
      <c r="D25" s="81"/>
    </row>
    <row r="26" spans="1:16" x14ac:dyDescent="0.3">
      <c r="A26" s="11"/>
      <c r="B26" s="14" t="s">
        <v>98</v>
      </c>
      <c r="C26" s="12"/>
      <c r="D26" s="12">
        <v>5600</v>
      </c>
    </row>
    <row r="27" spans="1:16" x14ac:dyDescent="0.3">
      <c r="A27" s="11"/>
      <c r="B27" s="11" t="s">
        <v>100</v>
      </c>
      <c r="C27" s="12"/>
      <c r="D27" s="12"/>
    </row>
    <row r="28" spans="1:16" x14ac:dyDescent="0.3">
      <c r="A28" s="10">
        <v>44962</v>
      </c>
      <c r="B28" s="29" t="s">
        <v>18</v>
      </c>
      <c r="C28" s="12"/>
      <c r="D28" s="12"/>
    </row>
    <row r="29" spans="1:16" x14ac:dyDescent="0.3">
      <c r="A29" s="11"/>
      <c r="B29" s="11" t="s">
        <v>102</v>
      </c>
      <c r="C29" s="12">
        <f>D31*87%</f>
        <v>2088</v>
      </c>
      <c r="D29" s="12"/>
    </row>
    <row r="30" spans="1:16" x14ac:dyDescent="0.3">
      <c r="A30" s="11"/>
      <c r="B30" s="28" t="s">
        <v>36</v>
      </c>
      <c r="C30" s="12">
        <f>D31-C29</f>
        <v>312</v>
      </c>
      <c r="D30" s="12"/>
    </row>
    <row r="31" spans="1:16" x14ac:dyDescent="0.3">
      <c r="A31" s="11"/>
      <c r="B31" s="13" t="s">
        <v>98</v>
      </c>
      <c r="C31" s="12"/>
      <c r="D31" s="12">
        <v>2400</v>
      </c>
    </row>
    <row r="32" spans="1:16" x14ac:dyDescent="0.3">
      <c r="A32" s="11"/>
      <c r="B32" s="11" t="s">
        <v>104</v>
      </c>
      <c r="C32" s="12"/>
      <c r="D32" s="12"/>
    </row>
    <row r="33" spans="1:4" s="74" customFormat="1" x14ac:dyDescent="0.3">
      <c r="A33" s="76"/>
      <c r="B33" s="76" t="s">
        <v>103</v>
      </c>
      <c r="C33" s="81"/>
      <c r="D33" s="81"/>
    </row>
    <row r="34" spans="1:4" x14ac:dyDescent="0.3">
      <c r="A34" s="10">
        <v>44965</v>
      </c>
      <c r="B34" s="13" t="s">
        <v>30</v>
      </c>
      <c r="C34" s="12"/>
      <c r="D34" s="12"/>
    </row>
    <row r="35" spans="1:4" x14ac:dyDescent="0.3">
      <c r="A35" s="11"/>
      <c r="B35" s="11" t="s">
        <v>98</v>
      </c>
      <c r="C35" s="12">
        <v>3800</v>
      </c>
      <c r="D35" s="12"/>
    </row>
    <row r="36" spans="1:4" x14ac:dyDescent="0.3">
      <c r="A36" s="11"/>
      <c r="B36" s="11" t="s">
        <v>31</v>
      </c>
      <c r="C36" s="12">
        <f>C35*3%</f>
        <v>114</v>
      </c>
      <c r="D36" s="12"/>
    </row>
    <row r="37" spans="1:4" x14ac:dyDescent="0.3">
      <c r="A37" s="11"/>
      <c r="B37" s="14" t="s">
        <v>37</v>
      </c>
      <c r="C37" s="12"/>
      <c r="D37" s="12">
        <f>C35*87%</f>
        <v>3306</v>
      </c>
    </row>
    <row r="38" spans="1:4" x14ac:dyDescent="0.3">
      <c r="A38" s="11"/>
      <c r="B38" s="14" t="s">
        <v>32</v>
      </c>
      <c r="C38" s="12"/>
      <c r="D38" s="12">
        <f>C35-D37</f>
        <v>494</v>
      </c>
    </row>
    <row r="39" spans="1:4" x14ac:dyDescent="0.3">
      <c r="A39" s="11"/>
      <c r="B39" s="14" t="s">
        <v>33</v>
      </c>
      <c r="C39" s="12"/>
      <c r="D39" s="12">
        <f>(D37+D38)*3%</f>
        <v>114</v>
      </c>
    </row>
    <row r="40" spans="1:4" x14ac:dyDescent="0.3">
      <c r="A40" s="11"/>
      <c r="B40" s="11" t="s">
        <v>105</v>
      </c>
      <c r="C40" s="12"/>
      <c r="D40" s="12"/>
    </row>
    <row r="41" spans="1:4" x14ac:dyDescent="0.3">
      <c r="A41" s="10">
        <v>44967</v>
      </c>
      <c r="B41" s="13" t="s">
        <v>39</v>
      </c>
      <c r="C41" s="12"/>
      <c r="D41" s="12"/>
    </row>
    <row r="42" spans="1:4" x14ac:dyDescent="0.3">
      <c r="A42" s="11"/>
      <c r="B42" s="11" t="s">
        <v>93</v>
      </c>
      <c r="C42" s="12">
        <f>D44*87%</f>
        <v>1044</v>
      </c>
      <c r="D42" s="12"/>
    </row>
    <row r="43" spans="1:4" x14ac:dyDescent="0.3">
      <c r="A43" s="11"/>
      <c r="B43" s="11" t="s">
        <v>36</v>
      </c>
      <c r="C43" s="12">
        <f>D44-C42</f>
        <v>156</v>
      </c>
      <c r="D43" s="12"/>
    </row>
    <row r="44" spans="1:4" x14ac:dyDescent="0.3">
      <c r="A44" s="11"/>
      <c r="B44" s="14" t="s">
        <v>38</v>
      </c>
      <c r="C44" s="12"/>
      <c r="D44" s="12">
        <v>1200</v>
      </c>
    </row>
    <row r="45" spans="1:4" x14ac:dyDescent="0.3">
      <c r="A45" s="11"/>
      <c r="B45" s="11" t="s">
        <v>106</v>
      </c>
      <c r="C45" s="12"/>
      <c r="D45" s="12"/>
    </row>
    <row r="46" spans="1:4" x14ac:dyDescent="0.3">
      <c r="A46" s="11"/>
      <c r="B46" s="11"/>
      <c r="C46" s="12"/>
      <c r="D46" s="12"/>
    </row>
    <row r="47" spans="1:4" x14ac:dyDescent="0.3">
      <c r="A47" s="10">
        <v>44969</v>
      </c>
      <c r="B47" s="13" t="s">
        <v>16</v>
      </c>
      <c r="C47" s="12"/>
      <c r="D47" s="12"/>
    </row>
    <row r="48" spans="1:4" x14ac:dyDescent="0.3">
      <c r="A48" s="11"/>
      <c r="B48" s="76" t="s">
        <v>35</v>
      </c>
      <c r="C48" s="12">
        <f>D50-C49</f>
        <v>6264</v>
      </c>
      <c r="D48" s="12"/>
    </row>
    <row r="49" spans="1:5" x14ac:dyDescent="0.3">
      <c r="A49" s="11"/>
      <c r="B49" s="11" t="s">
        <v>36</v>
      </c>
      <c r="C49" s="12">
        <f>D50*13%</f>
        <v>936</v>
      </c>
      <c r="D49" s="12"/>
      <c r="E49" s="89" t="s">
        <v>107</v>
      </c>
    </row>
    <row r="50" spans="1:5" x14ac:dyDescent="0.3">
      <c r="A50" s="11"/>
      <c r="B50" s="14" t="s">
        <v>34</v>
      </c>
      <c r="C50" s="12"/>
      <c r="D50" s="12">
        <v>7200</v>
      </c>
    </row>
    <row r="51" spans="1:5" x14ac:dyDescent="0.3">
      <c r="A51" s="11"/>
      <c r="B51" s="11" t="s">
        <v>108</v>
      </c>
      <c r="C51" s="12"/>
      <c r="D51" s="12"/>
    </row>
    <row r="52" spans="1:5" x14ac:dyDescent="0.3">
      <c r="A52" s="11"/>
      <c r="B52" s="11" t="s">
        <v>109</v>
      </c>
      <c r="C52" s="12"/>
      <c r="D52" s="12"/>
    </row>
    <row r="53" spans="1:5" x14ac:dyDescent="0.3">
      <c r="A53" s="10">
        <v>44974</v>
      </c>
      <c r="B53" s="13" t="s">
        <v>40</v>
      </c>
      <c r="C53" s="12"/>
      <c r="D53" s="12"/>
    </row>
    <row r="54" spans="1:5" x14ac:dyDescent="0.3">
      <c r="A54" s="11"/>
      <c r="B54" s="83" t="s">
        <v>111</v>
      </c>
      <c r="C54" s="12">
        <f>D56-C55</f>
        <v>217.5</v>
      </c>
      <c r="D54" s="12"/>
    </row>
    <row r="55" spans="1:5" s="74" customFormat="1" x14ac:dyDescent="0.3">
      <c r="A55" s="76"/>
      <c r="B55" s="83" t="s">
        <v>36</v>
      </c>
      <c r="C55" s="81">
        <f>D56*13%</f>
        <v>32.5</v>
      </c>
      <c r="D55" s="81"/>
    </row>
    <row r="56" spans="1:5" x14ac:dyDescent="0.3">
      <c r="A56" s="11"/>
      <c r="B56" s="14" t="s">
        <v>38</v>
      </c>
      <c r="C56" s="12"/>
      <c r="D56" s="12">
        <v>250</v>
      </c>
      <c r="E56" t="s">
        <v>110</v>
      </c>
    </row>
    <row r="57" spans="1:5" x14ac:dyDescent="0.3">
      <c r="A57" s="11"/>
      <c r="B57" s="11" t="s">
        <v>112</v>
      </c>
      <c r="C57" s="12"/>
      <c r="D57" s="12"/>
    </row>
    <row r="58" spans="1:5" x14ac:dyDescent="0.3">
      <c r="A58" s="10">
        <v>44979</v>
      </c>
      <c r="B58" s="13" t="s">
        <v>41</v>
      </c>
      <c r="C58" s="12"/>
      <c r="D58" s="12"/>
    </row>
    <row r="59" spans="1:5" x14ac:dyDescent="0.3">
      <c r="A59" s="11"/>
      <c r="B59" s="11" t="s">
        <v>113</v>
      </c>
      <c r="C59" s="12">
        <f>D61-C60</f>
        <v>478.5</v>
      </c>
      <c r="D59" s="12"/>
    </row>
    <row r="60" spans="1:5" x14ac:dyDescent="0.3">
      <c r="A60" s="11"/>
      <c r="B60" s="11" t="s">
        <v>36</v>
      </c>
      <c r="C60" s="12">
        <f>D61*13%</f>
        <v>71.5</v>
      </c>
      <c r="D60" s="12"/>
    </row>
    <row r="61" spans="1:5" x14ac:dyDescent="0.3">
      <c r="A61" s="11"/>
      <c r="B61" s="14" t="s">
        <v>98</v>
      </c>
      <c r="C61" s="12"/>
      <c r="D61" s="12">
        <v>550</v>
      </c>
    </row>
    <row r="62" spans="1:5" x14ac:dyDescent="0.3">
      <c r="A62" s="11"/>
      <c r="B62" s="11" t="s">
        <v>114</v>
      </c>
      <c r="C62" s="12"/>
      <c r="D62" s="12"/>
    </row>
    <row r="63" spans="1:5" x14ac:dyDescent="0.3">
      <c r="A63" s="11"/>
      <c r="B63" s="11"/>
      <c r="C63" s="11"/>
      <c r="D63" s="11"/>
    </row>
    <row r="64" spans="1:5" x14ac:dyDescent="0.3">
      <c r="A64" s="11"/>
      <c r="B64" s="11"/>
      <c r="C64" s="11"/>
      <c r="D64" s="11"/>
    </row>
    <row r="65" spans="1:4" x14ac:dyDescent="0.3">
      <c r="A65" s="11"/>
      <c r="B65" s="11"/>
      <c r="C65" s="11"/>
      <c r="D65" s="11"/>
    </row>
    <row r="66" spans="1:4" x14ac:dyDescent="0.3">
      <c r="A66" s="11"/>
      <c r="B66" s="11"/>
      <c r="C66" s="11"/>
      <c r="D66" s="11"/>
    </row>
    <row r="67" spans="1:4" x14ac:dyDescent="0.3">
      <c r="A67" s="11"/>
      <c r="B67" s="11"/>
      <c r="C67" s="11"/>
      <c r="D67" s="11"/>
    </row>
    <row r="68" spans="1:4" x14ac:dyDescent="0.3">
      <c r="A68" s="11"/>
      <c r="B68" s="11"/>
      <c r="C68" s="11"/>
      <c r="D68" s="11"/>
    </row>
    <row r="70" spans="1:4" x14ac:dyDescent="0.3">
      <c r="C70" s="78">
        <f>SUM(C10:C63)</f>
        <v>424114</v>
      </c>
    </row>
  </sheetData>
  <autoFilter ref="A9:D62" xr:uid="{5DBE34BF-C2A9-4E4B-A02C-0DA16C1501AF}"/>
  <mergeCells count="6">
    <mergeCell ref="J20:P20"/>
    <mergeCell ref="J21:P21"/>
    <mergeCell ref="A3:D3"/>
    <mergeCell ref="A4:D4"/>
    <mergeCell ref="A2:D2"/>
    <mergeCell ref="J19:P19"/>
  </mergeCells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0DD27-E9D1-445C-B2D3-14D81D09A770}">
  <dimension ref="B1:P41"/>
  <sheetViews>
    <sheetView topLeftCell="A5" workbookViewId="0">
      <selection activeCell="C17" sqref="C17"/>
    </sheetView>
  </sheetViews>
  <sheetFormatPr baseColWidth="10" defaultRowHeight="14.4" x14ac:dyDescent="0.3"/>
  <sheetData>
    <row r="1" spans="2:16" s="74" customFormat="1" x14ac:dyDescent="0.3"/>
    <row r="2" spans="2:16" s="74" customFormat="1" x14ac:dyDescent="0.3"/>
    <row r="3" spans="2:16" s="74" customFormat="1" x14ac:dyDescent="0.3"/>
    <row r="4" spans="2:16" s="74" customFormat="1" x14ac:dyDescent="0.3">
      <c r="F4" s="75" t="s">
        <v>95</v>
      </c>
      <c r="I4" s="78"/>
      <c r="J4" s="78"/>
      <c r="K4" s="78"/>
      <c r="L4" s="78"/>
    </row>
    <row r="5" spans="2:16" s="74" customFormat="1" x14ac:dyDescent="0.3">
      <c r="F5" s="17" t="s">
        <v>91</v>
      </c>
      <c r="G5" s="17"/>
      <c r="H5" s="17"/>
      <c r="I5" s="17"/>
      <c r="J5" s="17"/>
      <c r="K5" s="17"/>
      <c r="L5" s="17"/>
    </row>
    <row r="6" spans="2:16" s="74" customFormat="1" x14ac:dyDescent="0.3">
      <c r="F6" s="17" t="s">
        <v>116</v>
      </c>
      <c r="G6" s="17"/>
      <c r="H6" s="17"/>
      <c r="I6" s="17"/>
      <c r="J6" s="17"/>
      <c r="K6" s="17"/>
      <c r="L6" s="17"/>
    </row>
    <row r="7" spans="2:16" s="74" customFormat="1" x14ac:dyDescent="0.3">
      <c r="F7" s="17" t="s">
        <v>92</v>
      </c>
      <c r="G7" s="17"/>
      <c r="H7" s="17"/>
      <c r="I7" s="17"/>
      <c r="J7" s="17"/>
      <c r="K7" s="17"/>
      <c r="L7" s="17"/>
    </row>
    <row r="9" spans="2:16" x14ac:dyDescent="0.3"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</row>
    <row r="10" spans="2:16" x14ac:dyDescent="0.3">
      <c r="B10" s="31" t="s">
        <v>98</v>
      </c>
      <c r="C10" s="31"/>
      <c r="D10" s="32"/>
      <c r="E10" s="31" t="s">
        <v>38</v>
      </c>
      <c r="F10" s="31"/>
      <c r="G10" s="32"/>
      <c r="H10" s="106" t="s">
        <v>34</v>
      </c>
      <c r="I10" s="107"/>
      <c r="J10" s="32"/>
      <c r="K10" s="106" t="s">
        <v>36</v>
      </c>
      <c r="L10" s="107"/>
      <c r="M10" s="32"/>
      <c r="N10" s="106" t="s">
        <v>111</v>
      </c>
      <c r="O10" s="107"/>
      <c r="P10" s="32"/>
    </row>
    <row r="11" spans="2:16" x14ac:dyDescent="0.3">
      <c r="B11" s="98">
        <v>120000</v>
      </c>
      <c r="C11" s="99"/>
      <c r="D11" s="32"/>
      <c r="E11" s="98">
        <v>100000</v>
      </c>
      <c r="F11" s="99"/>
      <c r="G11" s="32"/>
      <c r="H11" s="49"/>
      <c r="I11" s="50">
        <v>75000</v>
      </c>
      <c r="J11" s="32"/>
      <c r="K11" s="85">
        <v>1040</v>
      </c>
      <c r="L11" s="30"/>
      <c r="M11" s="32"/>
      <c r="N11" s="85">
        <v>217.5</v>
      </c>
      <c r="O11" s="30"/>
      <c r="P11" s="32"/>
    </row>
    <row r="12" spans="2:16" x14ac:dyDescent="0.3">
      <c r="B12" s="85"/>
      <c r="C12" s="30">
        <v>5600</v>
      </c>
      <c r="D12" s="32"/>
      <c r="E12" s="85"/>
      <c r="F12" s="30">
        <v>8000</v>
      </c>
      <c r="G12" s="32"/>
      <c r="H12" s="85"/>
      <c r="I12" s="30">
        <v>7200</v>
      </c>
      <c r="J12" s="32"/>
      <c r="K12" s="85">
        <v>728</v>
      </c>
      <c r="L12" s="30"/>
      <c r="M12" s="32"/>
      <c r="N12" s="113"/>
      <c r="O12" s="100"/>
      <c r="P12" s="32"/>
    </row>
    <row r="13" spans="2:16" x14ac:dyDescent="0.3">
      <c r="B13" s="85"/>
      <c r="C13" s="30">
        <v>2400</v>
      </c>
      <c r="D13" s="32"/>
      <c r="E13" s="85"/>
      <c r="F13" s="30">
        <v>1200</v>
      </c>
      <c r="G13" s="32"/>
      <c r="H13" s="113">
        <v>0</v>
      </c>
      <c r="I13" s="114">
        <f>SUM(I11:I12)</f>
        <v>82200</v>
      </c>
      <c r="J13" s="32"/>
      <c r="K13" s="85">
        <v>312</v>
      </c>
      <c r="L13" s="30"/>
      <c r="M13" s="32"/>
      <c r="N13" s="101"/>
      <c r="O13" s="102"/>
      <c r="P13" s="32"/>
    </row>
    <row r="14" spans="2:16" x14ac:dyDescent="0.3">
      <c r="B14" s="85">
        <v>3800</v>
      </c>
      <c r="C14" s="30"/>
      <c r="D14" s="32"/>
      <c r="E14" s="85"/>
      <c r="F14" s="30">
        <v>250</v>
      </c>
      <c r="G14" s="32"/>
      <c r="H14" s="104"/>
      <c r="I14" s="53">
        <f>I13-H13</f>
        <v>82200</v>
      </c>
      <c r="J14" s="32"/>
      <c r="K14" s="85">
        <v>156</v>
      </c>
      <c r="L14" s="30"/>
      <c r="M14" s="32"/>
      <c r="N14" s="32"/>
      <c r="O14" s="91"/>
      <c r="P14" s="32"/>
    </row>
    <row r="15" spans="2:16" x14ac:dyDescent="0.3">
      <c r="B15" s="85"/>
      <c r="C15" s="30">
        <v>550</v>
      </c>
      <c r="D15" s="32"/>
      <c r="E15" s="113">
        <f>SUM(E11:E14)</f>
        <v>100000</v>
      </c>
      <c r="F15" s="114">
        <f>SUM(F12:F14)</f>
        <v>9450</v>
      </c>
      <c r="G15" s="32"/>
      <c r="H15" s="32"/>
      <c r="I15" s="32"/>
      <c r="J15" s="32"/>
      <c r="K15" s="85">
        <v>936</v>
      </c>
      <c r="L15" s="30"/>
      <c r="M15" s="32"/>
      <c r="N15" s="32"/>
      <c r="O15" s="32"/>
      <c r="P15" s="32"/>
    </row>
    <row r="16" spans="2:16" x14ac:dyDescent="0.3">
      <c r="B16" s="84">
        <f>SUM(B11:B15)</f>
        <v>123800</v>
      </c>
      <c r="C16" s="52">
        <f>SUM(C12:C15)</f>
        <v>8550</v>
      </c>
      <c r="D16" s="32"/>
      <c r="E16" s="116">
        <f>E15-F15</f>
        <v>90550</v>
      </c>
      <c r="F16" s="102"/>
      <c r="G16" s="32"/>
      <c r="H16" s="32"/>
      <c r="I16" s="32"/>
      <c r="J16" s="32"/>
      <c r="K16" s="85">
        <v>32.5</v>
      </c>
      <c r="L16" s="30"/>
      <c r="M16" s="32"/>
      <c r="N16" s="32"/>
      <c r="O16" s="32"/>
      <c r="P16" s="32"/>
    </row>
    <row r="17" spans="2:16" x14ac:dyDescent="0.3">
      <c r="B17" s="115">
        <f>B16-C16</f>
        <v>115250</v>
      </c>
      <c r="C17" s="97"/>
      <c r="D17" s="32"/>
      <c r="E17" s="91"/>
      <c r="F17" s="91"/>
      <c r="G17" s="32"/>
      <c r="H17" s="32"/>
      <c r="I17" s="32"/>
      <c r="J17" s="32"/>
      <c r="K17" s="85">
        <v>71.5</v>
      </c>
      <c r="L17" s="30"/>
      <c r="M17" s="32"/>
      <c r="N17" s="32"/>
      <c r="O17" s="32"/>
      <c r="P17" s="32"/>
    </row>
    <row r="18" spans="2:16" x14ac:dyDescent="0.3">
      <c r="B18" s="32"/>
      <c r="C18" s="32"/>
      <c r="D18" s="32"/>
      <c r="E18" s="32"/>
      <c r="F18" s="32"/>
      <c r="G18" s="32"/>
      <c r="H18" s="32"/>
      <c r="I18" s="32"/>
      <c r="J18" s="32"/>
      <c r="K18" s="113">
        <f>SUM(K11:K17)</f>
        <v>3276</v>
      </c>
      <c r="L18" s="103">
        <v>0</v>
      </c>
      <c r="M18" s="32"/>
      <c r="N18" s="32"/>
      <c r="O18" s="32"/>
      <c r="P18" s="32"/>
    </row>
    <row r="19" spans="2:16" x14ac:dyDescent="0.3">
      <c r="B19" s="32"/>
      <c r="C19" s="32"/>
      <c r="D19" s="32"/>
      <c r="E19" s="32"/>
      <c r="F19" s="32"/>
      <c r="G19" s="32"/>
      <c r="H19" s="32"/>
      <c r="I19" s="32"/>
      <c r="J19" s="32"/>
      <c r="K19" s="115">
        <f>K18-L18</f>
        <v>3276</v>
      </c>
      <c r="L19" s="97"/>
      <c r="M19" s="32"/>
      <c r="N19" s="32"/>
      <c r="O19" s="32"/>
      <c r="P19" s="32"/>
    </row>
    <row r="20" spans="2:16" x14ac:dyDescent="0.3"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</row>
    <row r="21" spans="2:16" x14ac:dyDescent="0.3">
      <c r="B21" s="90"/>
      <c r="C21" s="90"/>
      <c r="D21" s="32"/>
      <c r="E21" s="93"/>
      <c r="F21" s="90"/>
      <c r="G21" s="32"/>
      <c r="H21" s="90"/>
      <c r="I21" s="90"/>
      <c r="J21" s="32"/>
      <c r="K21" s="90"/>
      <c r="L21" s="90"/>
      <c r="M21" s="32"/>
      <c r="N21" s="94"/>
      <c r="O21" s="90"/>
      <c r="P21" s="32"/>
    </row>
    <row r="22" spans="2:16" x14ac:dyDescent="0.3">
      <c r="B22" s="91"/>
      <c r="C22" s="91"/>
      <c r="D22" s="32"/>
      <c r="E22" s="91"/>
      <c r="F22" s="91"/>
      <c r="G22" s="32"/>
      <c r="H22" s="91"/>
      <c r="I22" s="91"/>
      <c r="J22" s="32"/>
      <c r="K22" s="91"/>
      <c r="L22" s="91"/>
      <c r="M22" s="32"/>
      <c r="N22" s="91"/>
      <c r="O22" s="91"/>
      <c r="P22" s="32"/>
    </row>
    <row r="23" spans="2:16" x14ac:dyDescent="0.3">
      <c r="B23" s="106" t="s">
        <v>117</v>
      </c>
      <c r="C23" s="107"/>
      <c r="D23" s="32"/>
      <c r="E23" s="54" t="s">
        <v>113</v>
      </c>
      <c r="F23" s="55"/>
      <c r="G23" s="32"/>
      <c r="H23" s="54" t="s">
        <v>60</v>
      </c>
      <c r="I23" s="55"/>
      <c r="J23" s="32"/>
      <c r="K23" s="54" t="s">
        <v>118</v>
      </c>
      <c r="L23" s="55"/>
      <c r="M23" s="32"/>
      <c r="N23" s="54" t="s">
        <v>33</v>
      </c>
      <c r="O23" s="55"/>
      <c r="P23" s="32"/>
    </row>
    <row r="24" spans="2:16" x14ac:dyDescent="0.3">
      <c r="B24" s="85"/>
      <c r="C24" s="30">
        <v>494</v>
      </c>
      <c r="D24" s="32"/>
      <c r="E24" s="81">
        <v>478.5</v>
      </c>
      <c r="F24" s="81"/>
      <c r="G24" s="32"/>
      <c r="H24" s="81">
        <v>6960</v>
      </c>
      <c r="I24" s="81"/>
      <c r="J24" s="32"/>
      <c r="K24" s="81">
        <v>114</v>
      </c>
      <c r="L24" s="81"/>
      <c r="M24" s="32"/>
      <c r="N24" s="81"/>
      <c r="O24" s="81">
        <v>114</v>
      </c>
      <c r="P24" s="32"/>
    </row>
    <row r="25" spans="2:16" x14ac:dyDescent="0.3">
      <c r="B25" s="85"/>
      <c r="C25" s="30"/>
      <c r="D25" s="32"/>
      <c r="E25" s="32"/>
      <c r="F25" s="32"/>
      <c r="G25" s="32"/>
      <c r="H25" s="91"/>
      <c r="I25" s="32"/>
      <c r="J25" s="32"/>
      <c r="K25" s="32"/>
      <c r="L25" s="91"/>
      <c r="M25" s="32"/>
      <c r="N25" s="91"/>
      <c r="O25" s="32"/>
      <c r="P25" s="32"/>
    </row>
    <row r="26" spans="2:16" x14ac:dyDescent="0.3">
      <c r="B26" s="105"/>
      <c r="C26" s="100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</row>
    <row r="27" spans="2:16" x14ac:dyDescent="0.3">
      <c r="B27" s="104"/>
      <c r="C27" s="97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</row>
    <row r="28" spans="2:16" x14ac:dyDescent="0.3">
      <c r="B28" s="90"/>
      <c r="C28" s="90"/>
      <c r="D28" s="32"/>
      <c r="E28" s="90"/>
      <c r="F28" s="90"/>
      <c r="G28" s="32"/>
      <c r="H28" s="95"/>
      <c r="I28" s="90"/>
      <c r="J28" s="32"/>
      <c r="M28" s="32"/>
      <c r="P28" s="32"/>
    </row>
    <row r="29" spans="2:16" x14ac:dyDescent="0.3">
      <c r="B29" s="108" t="s">
        <v>70</v>
      </c>
      <c r="C29" s="109"/>
      <c r="D29" s="32"/>
      <c r="E29" s="110" t="s">
        <v>119</v>
      </c>
      <c r="F29" s="111"/>
      <c r="G29" s="32"/>
      <c r="H29" s="110" t="s">
        <v>102</v>
      </c>
      <c r="I29" s="111"/>
      <c r="J29" s="32"/>
      <c r="K29" s="54" t="s">
        <v>99</v>
      </c>
      <c r="L29" s="55"/>
      <c r="M29" s="32"/>
      <c r="N29" s="54" t="s">
        <v>37</v>
      </c>
      <c r="O29" s="55"/>
      <c r="P29" s="32"/>
    </row>
    <row r="30" spans="2:16" x14ac:dyDescent="0.3">
      <c r="B30" s="49">
        <v>80000</v>
      </c>
      <c r="C30" s="50"/>
      <c r="D30" s="32"/>
      <c r="E30" s="81">
        <v>1044</v>
      </c>
      <c r="F30" s="81"/>
      <c r="G30" s="32"/>
      <c r="H30" s="81">
        <v>2088</v>
      </c>
      <c r="I30" s="81"/>
      <c r="J30" s="32"/>
      <c r="K30" s="47">
        <v>95000</v>
      </c>
      <c r="L30" s="47"/>
      <c r="M30" s="32"/>
      <c r="N30" s="81"/>
      <c r="O30" s="81">
        <v>3306</v>
      </c>
      <c r="P30" s="32"/>
    </row>
    <row r="31" spans="2:16" x14ac:dyDescent="0.3">
      <c r="B31" s="85">
        <v>4872</v>
      </c>
      <c r="C31" s="30"/>
      <c r="D31" s="32"/>
      <c r="E31" s="92"/>
      <c r="F31" s="92"/>
      <c r="G31" s="32"/>
      <c r="H31" s="32"/>
      <c r="I31" s="32"/>
      <c r="J31" s="32"/>
      <c r="K31" s="32"/>
      <c r="L31" s="32"/>
      <c r="M31" s="32"/>
      <c r="N31" s="91"/>
      <c r="O31" s="92"/>
      <c r="P31" s="32"/>
    </row>
    <row r="32" spans="2:16" x14ac:dyDescent="0.3">
      <c r="B32" s="85">
        <v>6264</v>
      </c>
      <c r="C32" s="30"/>
      <c r="D32" s="32"/>
      <c r="E32" s="32"/>
      <c r="F32" s="91"/>
      <c r="G32" s="32"/>
      <c r="H32" s="32"/>
      <c r="I32" s="32"/>
      <c r="J32" s="32"/>
      <c r="K32" s="32"/>
      <c r="L32" s="32"/>
      <c r="M32" s="32"/>
      <c r="N32" s="32"/>
      <c r="O32" s="91"/>
      <c r="P32" s="32"/>
    </row>
    <row r="33" spans="2:16" x14ac:dyDescent="0.3">
      <c r="B33" s="84">
        <f>SUM(B30:B32)</f>
        <v>91136</v>
      </c>
      <c r="C33" s="112">
        <v>0</v>
      </c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</row>
    <row r="34" spans="2:16" x14ac:dyDescent="0.3">
      <c r="B34" s="115">
        <f>B33-C33</f>
        <v>91136</v>
      </c>
      <c r="C34" s="51"/>
    </row>
    <row r="36" spans="2:16" x14ac:dyDescent="0.3">
      <c r="B36" s="32"/>
      <c r="C36" s="32"/>
      <c r="D36" s="32"/>
      <c r="E36" s="32"/>
      <c r="F36" s="32"/>
      <c r="G36" s="32"/>
    </row>
    <row r="37" spans="2:16" x14ac:dyDescent="0.3">
      <c r="B37" s="54" t="s">
        <v>14</v>
      </c>
      <c r="C37" s="55"/>
      <c r="D37" s="32"/>
      <c r="E37" s="95"/>
      <c r="F37" s="95"/>
      <c r="G37" s="32"/>
    </row>
    <row r="38" spans="2:16" x14ac:dyDescent="0.3">
      <c r="B38" s="47"/>
      <c r="C38" s="47">
        <v>320000</v>
      </c>
      <c r="D38" s="32"/>
      <c r="E38" s="91"/>
      <c r="F38" s="91"/>
      <c r="G38" s="32"/>
    </row>
    <row r="39" spans="2:16" x14ac:dyDescent="0.3">
      <c r="B39" s="76"/>
      <c r="C39" s="76"/>
      <c r="D39" s="32"/>
      <c r="E39" s="32"/>
      <c r="F39" s="32"/>
      <c r="G39" s="32"/>
    </row>
    <row r="40" spans="2:16" x14ac:dyDescent="0.3">
      <c r="B40" s="32"/>
      <c r="C40" s="91"/>
      <c r="D40" s="32"/>
      <c r="E40" s="96"/>
      <c r="F40" s="32"/>
      <c r="G40" s="32"/>
    </row>
    <row r="41" spans="2:16" x14ac:dyDescent="0.3">
      <c r="B41" s="32"/>
      <c r="C41" s="32"/>
      <c r="D41" s="32"/>
      <c r="E41" s="32"/>
      <c r="F41" s="32"/>
      <c r="G41" s="32"/>
    </row>
  </sheetData>
  <mergeCells count="28">
    <mergeCell ref="B23:C23"/>
    <mergeCell ref="E23:F23"/>
    <mergeCell ref="H23:I23"/>
    <mergeCell ref="K23:L23"/>
    <mergeCell ref="N23:O23"/>
    <mergeCell ref="B29:C29"/>
    <mergeCell ref="E29:F29"/>
    <mergeCell ref="H29:I29"/>
    <mergeCell ref="F5:L5"/>
    <mergeCell ref="F6:L6"/>
    <mergeCell ref="F7:L7"/>
    <mergeCell ref="E37:F37"/>
    <mergeCell ref="B28:C28"/>
    <mergeCell ref="E28:F28"/>
    <mergeCell ref="H28:I28"/>
    <mergeCell ref="K29:L29"/>
    <mergeCell ref="B37:C37"/>
    <mergeCell ref="N29:O29"/>
    <mergeCell ref="B10:C10"/>
    <mergeCell ref="E10:F10"/>
    <mergeCell ref="H10:I10"/>
    <mergeCell ref="K10:L10"/>
    <mergeCell ref="N10:O10"/>
    <mergeCell ref="B21:C21"/>
    <mergeCell ref="E21:F21"/>
    <mergeCell ref="H21:I21"/>
    <mergeCell ref="K21:L21"/>
    <mergeCell ref="N21:O21"/>
  </mergeCells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6C5F6-78A5-4CCA-A6EF-D2D0452F5538}">
  <dimension ref="A1:K27"/>
  <sheetViews>
    <sheetView topLeftCell="A3" workbookViewId="0">
      <selection activeCell="B20" sqref="B20"/>
    </sheetView>
  </sheetViews>
  <sheetFormatPr baseColWidth="10" defaultRowHeight="14.4" x14ac:dyDescent="0.3"/>
  <cols>
    <col min="1" max="1" width="5.109375" bestFit="1" customWidth="1"/>
    <col min="2" max="2" width="41.44140625" bestFit="1" customWidth="1"/>
    <col min="3" max="3" width="5.109375" customWidth="1"/>
    <col min="8" max="8" width="15.21875" customWidth="1"/>
  </cols>
  <sheetData>
    <row r="1" spans="1:11" x14ac:dyDescent="0.3">
      <c r="A1" s="1" t="s">
        <v>20</v>
      </c>
      <c r="D1" s="7"/>
      <c r="E1" s="7"/>
      <c r="F1" s="7"/>
      <c r="G1" s="7"/>
    </row>
    <row r="2" spans="1:11" x14ac:dyDescent="0.3">
      <c r="A2" s="17" t="s">
        <v>43</v>
      </c>
      <c r="B2" s="17"/>
      <c r="C2" s="17"/>
      <c r="D2" s="17"/>
      <c r="E2" s="17"/>
      <c r="F2" s="17"/>
      <c r="G2" s="17"/>
    </row>
    <row r="3" spans="1:11" x14ac:dyDescent="0.3">
      <c r="A3" s="17" t="s">
        <v>86</v>
      </c>
      <c r="B3" s="17"/>
      <c r="C3" s="17"/>
      <c r="D3" s="17"/>
      <c r="E3" s="17"/>
      <c r="F3" s="17"/>
      <c r="G3" s="17"/>
    </row>
    <row r="4" spans="1:11" x14ac:dyDescent="0.3">
      <c r="A4" s="17" t="s">
        <v>92</v>
      </c>
      <c r="B4" s="17"/>
      <c r="C4" s="17"/>
      <c r="D4" s="17"/>
      <c r="E4" s="17"/>
      <c r="F4" s="17"/>
      <c r="G4" s="17"/>
    </row>
    <row r="5" spans="1:11" x14ac:dyDescent="0.3">
      <c r="D5" s="7"/>
      <c r="E5" s="7"/>
      <c r="F5" s="7"/>
      <c r="G5" s="7"/>
    </row>
    <row r="6" spans="1:11" x14ac:dyDescent="0.3">
      <c r="A6" s="33" t="s">
        <v>44</v>
      </c>
      <c r="B6" s="33" t="s">
        <v>45</v>
      </c>
      <c r="C6" s="33" t="s">
        <v>46</v>
      </c>
      <c r="D6" s="34" t="s">
        <v>47</v>
      </c>
      <c r="E6" s="34"/>
      <c r="F6" s="34" t="s">
        <v>48</v>
      </c>
      <c r="G6" s="34"/>
      <c r="H6" s="35" t="s">
        <v>49</v>
      </c>
      <c r="I6" s="36"/>
      <c r="J6" s="35" t="s">
        <v>50</v>
      </c>
      <c r="K6" s="36"/>
    </row>
    <row r="7" spans="1:11" x14ac:dyDescent="0.3">
      <c r="A7" s="37"/>
      <c r="B7" s="37"/>
      <c r="C7" s="37"/>
      <c r="D7" s="38" t="s">
        <v>11</v>
      </c>
      <c r="E7" s="38" t="s">
        <v>12</v>
      </c>
      <c r="F7" s="39" t="s">
        <v>51</v>
      </c>
      <c r="G7" s="39" t="s">
        <v>52</v>
      </c>
      <c r="H7" s="40" t="s">
        <v>53</v>
      </c>
      <c r="I7" s="40" t="s">
        <v>54</v>
      </c>
      <c r="J7" s="40" t="s">
        <v>55</v>
      </c>
      <c r="K7" s="40" t="s">
        <v>56</v>
      </c>
    </row>
    <row r="8" spans="1:11" x14ac:dyDescent="0.3">
      <c r="A8" s="11">
        <v>1</v>
      </c>
      <c r="B8" s="12" t="str">
        <f>+MAYORES!B10</f>
        <v>BANCO Mercantil Scz M/N</v>
      </c>
      <c r="C8" s="13" t="s">
        <v>58</v>
      </c>
      <c r="D8" s="12">
        <f>+MAYORES!B16</f>
        <v>123800</v>
      </c>
      <c r="E8" s="12">
        <f>+MAYORES!C16</f>
        <v>8550</v>
      </c>
      <c r="F8" s="41">
        <f>IF(D8&gt;E8,D8-E8,"")</f>
        <v>115250</v>
      </c>
      <c r="G8" s="41" t="str">
        <f>IF(E8&gt;D8,E8-D8,"")</f>
        <v/>
      </c>
      <c r="H8" s="11"/>
      <c r="I8" s="11"/>
      <c r="J8" s="12">
        <f>F8</f>
        <v>115250</v>
      </c>
      <c r="K8" s="11"/>
    </row>
    <row r="9" spans="1:11" x14ac:dyDescent="0.3">
      <c r="A9" s="11">
        <v>2</v>
      </c>
      <c r="B9" s="12" t="str">
        <f>MAYORES!E10</f>
        <v>CAJA M/N</v>
      </c>
      <c r="C9" s="13" t="s">
        <v>58</v>
      </c>
      <c r="D9" s="12">
        <f>+MAYORES!E15</f>
        <v>100000</v>
      </c>
      <c r="E9" s="12">
        <f>+MAYORES!F15</f>
        <v>9450</v>
      </c>
      <c r="F9" s="41">
        <f t="shared" ref="F9:F23" si="0">IF(D9&gt;E9,D9-E9,"")</f>
        <v>90550</v>
      </c>
      <c r="G9" s="41" t="str">
        <f t="shared" ref="G9:G22" si="1">IF(E9&gt;D9,E9-D9,"")</f>
        <v/>
      </c>
      <c r="H9" s="11"/>
      <c r="I9" s="11"/>
      <c r="J9" s="12">
        <f>F9</f>
        <v>90550</v>
      </c>
      <c r="K9" s="11"/>
    </row>
    <row r="10" spans="1:11" x14ac:dyDescent="0.3">
      <c r="A10" s="11">
        <v>3</v>
      </c>
      <c r="B10" s="12" t="str">
        <f>MAYORES!H10</f>
        <v>CUENTAS POR PAGAR</v>
      </c>
      <c r="C10" s="13" t="s">
        <v>63</v>
      </c>
      <c r="D10" s="12"/>
      <c r="E10" s="12">
        <f>+MAYORES!I13</f>
        <v>82200</v>
      </c>
      <c r="F10" s="41" t="str">
        <f t="shared" si="0"/>
        <v/>
      </c>
      <c r="G10" s="41">
        <f t="shared" si="1"/>
        <v>82200</v>
      </c>
      <c r="H10" s="12" t="str">
        <f>F10</f>
        <v/>
      </c>
      <c r="I10" s="11"/>
      <c r="J10" s="12"/>
      <c r="K10" s="81">
        <f>G10</f>
        <v>82200</v>
      </c>
    </row>
    <row r="11" spans="1:11" x14ac:dyDescent="0.3">
      <c r="A11" s="11">
        <v>4</v>
      </c>
      <c r="B11" s="12" t="str">
        <f>MAYORES!K10</f>
        <v>CREDITO FISCAL</v>
      </c>
      <c r="C11" s="13" t="s">
        <v>58</v>
      </c>
      <c r="D11" s="12">
        <f>+MAYORES!K18</f>
        <v>3276</v>
      </c>
      <c r="E11" s="12"/>
      <c r="F11" s="41">
        <f t="shared" si="0"/>
        <v>3276</v>
      </c>
      <c r="G11" s="41" t="str">
        <f t="shared" si="1"/>
        <v/>
      </c>
      <c r="H11" s="11"/>
      <c r="I11" s="11"/>
      <c r="J11" s="12">
        <f>F11</f>
        <v>3276</v>
      </c>
      <c r="K11" s="11"/>
    </row>
    <row r="12" spans="1:11" x14ac:dyDescent="0.3">
      <c r="A12" s="11">
        <v>5</v>
      </c>
      <c r="B12" s="12" t="str">
        <f>MAYORES!N10</f>
        <v>ASEO Y LIMPIEZA</v>
      </c>
      <c r="C12" s="56" t="s">
        <v>61</v>
      </c>
      <c r="D12" s="12">
        <f>+MAYORES!N11</f>
        <v>217.5</v>
      </c>
      <c r="E12" s="12"/>
      <c r="F12" s="41">
        <f t="shared" si="0"/>
        <v>217.5</v>
      </c>
      <c r="G12" s="41" t="str">
        <f t="shared" si="1"/>
        <v/>
      </c>
      <c r="H12" s="81">
        <f>F12</f>
        <v>217.5</v>
      </c>
      <c r="I12" s="11"/>
      <c r="J12" s="11"/>
      <c r="K12" s="12" t="str">
        <f>G12</f>
        <v/>
      </c>
    </row>
    <row r="13" spans="1:11" x14ac:dyDescent="0.3">
      <c r="A13" s="11">
        <v>6</v>
      </c>
      <c r="B13" s="12" t="str">
        <f>+MAYORES!B23</f>
        <v xml:space="preserve">DEBITO FISCAL </v>
      </c>
      <c r="C13" s="13" t="s">
        <v>63</v>
      </c>
      <c r="D13" s="12"/>
      <c r="E13" s="12">
        <f>+MAYORES!C24</f>
        <v>494</v>
      </c>
      <c r="F13" s="41" t="str">
        <f t="shared" si="0"/>
        <v/>
      </c>
      <c r="G13" s="41">
        <f t="shared" si="1"/>
        <v>494</v>
      </c>
      <c r="H13" s="12" t="str">
        <f>F13</f>
        <v/>
      </c>
      <c r="I13" s="11"/>
      <c r="J13" s="11"/>
      <c r="K13" s="12">
        <f>G13</f>
        <v>494</v>
      </c>
    </row>
    <row r="14" spans="1:11" x14ac:dyDescent="0.3">
      <c r="A14" s="11">
        <v>7</v>
      </c>
      <c r="B14" s="12" t="str">
        <f>+MAYORES!E23</f>
        <v>ENERGIA ELECTRICA</v>
      </c>
      <c r="C14" s="13" t="s">
        <v>61</v>
      </c>
      <c r="D14" s="12">
        <f>+MAYORES!E24</f>
        <v>478.5</v>
      </c>
      <c r="E14" s="12"/>
      <c r="F14" s="41">
        <f t="shared" si="0"/>
        <v>478.5</v>
      </c>
      <c r="G14" s="41" t="str">
        <f t="shared" si="1"/>
        <v/>
      </c>
      <c r="H14" s="81">
        <f>F14</f>
        <v>478.5</v>
      </c>
      <c r="I14" s="11"/>
      <c r="J14" s="12"/>
      <c r="K14" s="11"/>
    </row>
    <row r="15" spans="1:11" x14ac:dyDescent="0.3">
      <c r="A15" s="11">
        <v>8</v>
      </c>
      <c r="B15" s="12" t="str">
        <f>+MAYORES!H23</f>
        <v>GASTOS LEGALES</v>
      </c>
      <c r="C15" s="13" t="s">
        <v>61</v>
      </c>
      <c r="D15" s="12">
        <f>+MAYORES!H24</f>
        <v>6960</v>
      </c>
      <c r="E15" s="12"/>
      <c r="F15" s="41">
        <f t="shared" si="0"/>
        <v>6960</v>
      </c>
      <c r="G15" s="41" t="str">
        <f t="shared" si="1"/>
        <v/>
      </c>
      <c r="H15" s="12">
        <f>F15</f>
        <v>6960</v>
      </c>
      <c r="I15" s="11"/>
      <c r="J15" s="12"/>
      <c r="K15" s="11"/>
    </row>
    <row r="16" spans="1:11" x14ac:dyDescent="0.3">
      <c r="A16" s="11">
        <v>9</v>
      </c>
      <c r="B16" s="12" t="str">
        <f>+MAYORES!K23</f>
        <v>I.T</v>
      </c>
      <c r="C16" s="13" t="s">
        <v>61</v>
      </c>
      <c r="D16" s="12">
        <f>+MAYORES!K24</f>
        <v>114</v>
      </c>
      <c r="E16" s="12"/>
      <c r="F16" s="41">
        <f t="shared" si="0"/>
        <v>114</v>
      </c>
      <c r="G16" s="41" t="str">
        <f t="shared" si="1"/>
        <v/>
      </c>
      <c r="H16" s="12">
        <f>F16</f>
        <v>114</v>
      </c>
      <c r="I16" s="11"/>
      <c r="J16" s="11"/>
      <c r="K16" s="12" t="str">
        <f>G16</f>
        <v/>
      </c>
    </row>
    <row r="17" spans="1:11" x14ac:dyDescent="0.3">
      <c r="A17" s="11">
        <v>10</v>
      </c>
      <c r="B17" s="12" t="str">
        <f>+MAYORES!N23</f>
        <v>I.T. POR PAGAR</v>
      </c>
      <c r="C17" s="13" t="s">
        <v>63</v>
      </c>
      <c r="D17" s="12"/>
      <c r="E17" s="12">
        <f>+MAYORES!O24</f>
        <v>114</v>
      </c>
      <c r="F17" s="41" t="str">
        <f t="shared" si="0"/>
        <v/>
      </c>
      <c r="G17" s="41">
        <f t="shared" si="1"/>
        <v>114</v>
      </c>
      <c r="H17" s="11"/>
      <c r="I17" s="12"/>
      <c r="J17" s="12" t="str">
        <f>F17</f>
        <v/>
      </c>
      <c r="K17" s="81">
        <f>G17</f>
        <v>114</v>
      </c>
    </row>
    <row r="18" spans="1:11" x14ac:dyDescent="0.3">
      <c r="A18" s="11">
        <v>11</v>
      </c>
      <c r="B18" s="12" t="str">
        <f>+MAYORES!B29</f>
        <v>INVENTARIO DE MERCADERIA</v>
      </c>
      <c r="C18" s="13" t="s">
        <v>58</v>
      </c>
      <c r="D18" s="12">
        <f>+MAYORES!B33</f>
        <v>91136</v>
      </c>
      <c r="E18" s="12"/>
      <c r="F18" s="41">
        <f t="shared" si="0"/>
        <v>91136</v>
      </c>
      <c r="G18" s="41" t="str">
        <f t="shared" si="1"/>
        <v/>
      </c>
      <c r="H18" s="11"/>
      <c r="I18" s="11"/>
      <c r="J18" s="12">
        <f>F18</f>
        <v>91136</v>
      </c>
      <c r="K18" s="11"/>
    </row>
    <row r="19" spans="1:11" x14ac:dyDescent="0.3">
      <c r="A19" s="11">
        <v>12</v>
      </c>
      <c r="B19" s="12" t="str">
        <f>+MAYORES!E29</f>
        <v>MENTENIIENTO DE MUEBLES Y ENSERES</v>
      </c>
      <c r="C19" s="13" t="s">
        <v>61</v>
      </c>
      <c r="D19" s="12">
        <f>+MAYORES!E30</f>
        <v>1044</v>
      </c>
      <c r="E19" s="12"/>
      <c r="F19" s="41">
        <f t="shared" si="0"/>
        <v>1044</v>
      </c>
      <c r="G19" s="41" t="str">
        <f t="shared" si="1"/>
        <v/>
      </c>
      <c r="H19" s="12">
        <f>F19</f>
        <v>1044</v>
      </c>
      <c r="I19" s="12"/>
      <c r="J19" s="11"/>
      <c r="K19" s="12"/>
    </row>
    <row r="20" spans="1:11" x14ac:dyDescent="0.3">
      <c r="A20" s="11">
        <v>13</v>
      </c>
      <c r="B20" s="12" t="str">
        <f>+MAYORES!H29</f>
        <v>SEGURO PAGADO POR ADELANTADO</v>
      </c>
      <c r="C20" s="13" t="s">
        <v>58</v>
      </c>
      <c r="D20" s="12">
        <f>+MAYORES!H30</f>
        <v>2088</v>
      </c>
      <c r="E20" s="12"/>
      <c r="F20" s="41">
        <f t="shared" si="0"/>
        <v>2088</v>
      </c>
      <c r="G20" s="41" t="str">
        <f t="shared" si="1"/>
        <v/>
      </c>
      <c r="H20" s="12"/>
      <c r="I20" s="11"/>
      <c r="J20" s="12">
        <f>F20</f>
        <v>2088</v>
      </c>
      <c r="K20" s="11"/>
    </row>
    <row r="21" spans="1:11" x14ac:dyDescent="0.3">
      <c r="A21" s="11">
        <v>14</v>
      </c>
      <c r="B21" s="12" t="str">
        <f>MAYORES!K29</f>
        <v>VEHÍCULOS</v>
      </c>
      <c r="C21" s="13" t="s">
        <v>58</v>
      </c>
      <c r="D21" s="12">
        <f>+MAYORES!K30</f>
        <v>95000</v>
      </c>
      <c r="E21" s="12"/>
      <c r="F21" s="41">
        <f t="shared" si="0"/>
        <v>95000</v>
      </c>
      <c r="G21" s="41" t="str">
        <f t="shared" si="1"/>
        <v/>
      </c>
      <c r="H21" s="11"/>
      <c r="I21" s="11"/>
      <c r="J21" s="12">
        <f>F21</f>
        <v>95000</v>
      </c>
      <c r="K21" s="12"/>
    </row>
    <row r="22" spans="1:11" x14ac:dyDescent="0.3">
      <c r="A22" s="11">
        <v>15</v>
      </c>
      <c r="B22" s="12" t="str">
        <f>MAYORES!N29</f>
        <v>VENTAS</v>
      </c>
      <c r="C22" s="13" t="s">
        <v>62</v>
      </c>
      <c r="D22" s="12"/>
      <c r="E22" s="12">
        <f>+MAYORES!O30</f>
        <v>3306</v>
      </c>
      <c r="F22" s="41" t="str">
        <f t="shared" si="0"/>
        <v/>
      </c>
      <c r="G22" s="41">
        <f t="shared" si="1"/>
        <v>3306</v>
      </c>
      <c r="H22" s="12" t="str">
        <f>F22</f>
        <v/>
      </c>
      <c r="I22" s="81">
        <f>G22</f>
        <v>3306</v>
      </c>
      <c r="J22" s="11"/>
      <c r="K22" s="12"/>
    </row>
    <row r="23" spans="1:11" x14ac:dyDescent="0.3">
      <c r="A23" s="11">
        <v>16</v>
      </c>
      <c r="B23" s="12" t="str">
        <f>MAYORES!B37</f>
        <v>CAPITAL SOCIAL</v>
      </c>
      <c r="C23" s="86" t="s">
        <v>59</v>
      </c>
      <c r="D23" s="12"/>
      <c r="E23" s="12">
        <f>+MAYORES!C38</f>
        <v>320000</v>
      </c>
      <c r="F23" s="41" t="str">
        <f t="shared" si="0"/>
        <v/>
      </c>
      <c r="G23" s="41">
        <f>+E23</f>
        <v>320000</v>
      </c>
      <c r="H23" s="11"/>
      <c r="I23" s="11"/>
      <c r="J23" s="11"/>
      <c r="K23" s="12">
        <f>E23</f>
        <v>320000</v>
      </c>
    </row>
    <row r="24" spans="1:11" x14ac:dyDescent="0.3">
      <c r="A24" s="42"/>
      <c r="B24" s="42" t="s">
        <v>66</v>
      </c>
      <c r="C24" s="42"/>
      <c r="D24" s="43">
        <f>SUM(D8:D23)</f>
        <v>424114</v>
      </c>
      <c r="E24" s="43">
        <f>SUM(E8:E23)</f>
        <v>424114</v>
      </c>
      <c r="F24" s="44">
        <f>SUM(F8:F23)</f>
        <v>406114</v>
      </c>
      <c r="G24" s="44">
        <f>SUM(G8:G23)</f>
        <v>406114</v>
      </c>
      <c r="H24" s="57">
        <f>SUM(H8:H23)</f>
        <v>8814</v>
      </c>
      <c r="I24" s="57">
        <f>SUM(I8:I23)</f>
        <v>3306</v>
      </c>
      <c r="J24" s="44">
        <f>SUM(J8:J23)</f>
        <v>397300</v>
      </c>
      <c r="K24" s="57">
        <f>SUM(K8:K23)</f>
        <v>402808</v>
      </c>
    </row>
    <row r="25" spans="1:11" x14ac:dyDescent="0.3">
      <c r="A25" s="11"/>
      <c r="B25" s="35" t="s">
        <v>67</v>
      </c>
      <c r="C25" s="45"/>
      <c r="D25" s="45"/>
      <c r="E25" s="45"/>
      <c r="F25" s="45"/>
      <c r="G25" s="36"/>
      <c r="H25" s="1"/>
      <c r="I25" s="58">
        <f>H24-I24</f>
        <v>5508</v>
      </c>
      <c r="J25" s="46">
        <f>K24-J24</f>
        <v>5508</v>
      </c>
      <c r="K25" s="42"/>
    </row>
    <row r="26" spans="1:11" x14ac:dyDescent="0.3">
      <c r="A26" s="11"/>
      <c r="B26" s="35" t="s">
        <v>66</v>
      </c>
      <c r="C26" s="45"/>
      <c r="D26" s="45"/>
      <c r="E26" s="45"/>
      <c r="F26" s="45"/>
      <c r="G26" s="36"/>
      <c r="H26" s="59">
        <f>H24</f>
        <v>8814</v>
      </c>
      <c r="I26" s="59">
        <f>I24+I25</f>
        <v>8814</v>
      </c>
      <c r="J26" s="43">
        <f>J25+J24</f>
        <v>402808</v>
      </c>
      <c r="K26" s="59">
        <f>K24+K25</f>
        <v>402808</v>
      </c>
    </row>
    <row r="27" spans="1:11" x14ac:dyDescent="0.3">
      <c r="D27" s="7"/>
      <c r="E27" s="7"/>
      <c r="F27" s="7"/>
      <c r="G27" s="7"/>
    </row>
  </sheetData>
  <mergeCells count="12">
    <mergeCell ref="H6:I6"/>
    <mergeCell ref="J6:K6"/>
    <mergeCell ref="B25:G25"/>
    <mergeCell ref="B26:G26"/>
    <mergeCell ref="A2:G2"/>
    <mergeCell ref="A3:G3"/>
    <mergeCell ref="A4:G4"/>
    <mergeCell ref="A6:A7"/>
    <mergeCell ref="B6:B7"/>
    <mergeCell ref="C6:C7"/>
    <mergeCell ref="D6:E6"/>
    <mergeCell ref="F6:G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6CF83-14F1-427F-A4C6-72D86378F44F}">
  <dimension ref="B2:F35"/>
  <sheetViews>
    <sheetView tabSelected="1" workbookViewId="0">
      <selection activeCell="F30" sqref="F30"/>
    </sheetView>
  </sheetViews>
  <sheetFormatPr baseColWidth="10" defaultRowHeight="14.4" x14ac:dyDescent="0.3"/>
  <cols>
    <col min="1" max="1" width="4.109375" customWidth="1"/>
    <col min="2" max="2" width="2.88671875" customWidth="1"/>
    <col min="3" max="3" width="31.44140625" customWidth="1"/>
    <col min="4" max="4" width="4.109375" style="63" customWidth="1"/>
    <col min="5" max="5" width="11.77734375" customWidth="1"/>
    <col min="6" max="6" width="10.5546875" customWidth="1"/>
  </cols>
  <sheetData>
    <row r="2" spans="2:6" x14ac:dyDescent="0.3">
      <c r="B2" s="64" t="s">
        <v>20</v>
      </c>
      <c r="C2" s="63"/>
      <c r="E2" s="63"/>
      <c r="F2" s="63"/>
    </row>
    <row r="3" spans="2:6" x14ac:dyDescent="0.3">
      <c r="B3" s="63"/>
      <c r="C3" s="63"/>
      <c r="E3" s="63"/>
      <c r="F3" s="63"/>
    </row>
    <row r="4" spans="2:6" x14ac:dyDescent="0.3">
      <c r="B4" s="17" t="s">
        <v>71</v>
      </c>
      <c r="C4" s="17"/>
      <c r="D4" s="17"/>
      <c r="E4" s="17"/>
      <c r="F4" s="17"/>
    </row>
    <row r="5" spans="2:6" x14ac:dyDescent="0.3">
      <c r="B5" s="17" t="s">
        <v>87</v>
      </c>
      <c r="C5" s="17"/>
      <c r="D5" s="17"/>
      <c r="E5" s="17"/>
      <c r="F5" s="17"/>
    </row>
    <row r="6" spans="2:6" x14ac:dyDescent="0.3">
      <c r="B6" s="17" t="s">
        <v>72</v>
      </c>
      <c r="C6" s="17"/>
      <c r="D6" s="17"/>
      <c r="E6" s="17"/>
      <c r="F6" s="17"/>
    </row>
    <row r="7" spans="2:6" x14ac:dyDescent="0.3">
      <c r="B7" s="63"/>
      <c r="C7" s="63"/>
      <c r="E7" s="63"/>
      <c r="F7" s="63"/>
    </row>
    <row r="8" spans="2:6" x14ac:dyDescent="0.3">
      <c r="B8" s="64" t="s">
        <v>73</v>
      </c>
      <c r="C8" s="64"/>
      <c r="D8" s="64"/>
      <c r="E8" s="66"/>
      <c r="F8" s="66">
        <f>SUM(E9:E11)</f>
        <v>3306</v>
      </c>
    </row>
    <row r="9" spans="2:6" x14ac:dyDescent="0.3">
      <c r="B9" s="63"/>
      <c r="C9" s="63" t="s">
        <v>74</v>
      </c>
      <c r="E9" s="65">
        <f>+MAYORES!O30</f>
        <v>3306</v>
      </c>
      <c r="F9" s="63"/>
    </row>
    <row r="10" spans="2:6" x14ac:dyDescent="0.3">
      <c r="B10" s="63" t="s">
        <v>75</v>
      </c>
      <c r="C10" s="63" t="s">
        <v>76</v>
      </c>
      <c r="E10" s="65">
        <v>0</v>
      </c>
      <c r="F10" s="63"/>
    </row>
    <row r="11" spans="2:6" x14ac:dyDescent="0.3">
      <c r="B11" s="63" t="s">
        <v>75</v>
      </c>
      <c r="C11" s="63" t="s">
        <v>77</v>
      </c>
      <c r="E11" s="67">
        <v>0</v>
      </c>
      <c r="F11" s="63"/>
    </row>
    <row r="12" spans="2:6" x14ac:dyDescent="0.3">
      <c r="B12" s="63"/>
      <c r="C12" s="63"/>
      <c r="E12" s="63"/>
      <c r="F12" s="63"/>
    </row>
    <row r="13" spans="2:6" x14ac:dyDescent="0.3">
      <c r="B13" s="64" t="s">
        <v>78</v>
      </c>
      <c r="C13" s="64"/>
      <c r="D13" s="64"/>
      <c r="E13" s="66"/>
      <c r="F13" s="66">
        <f>SUM(E14)</f>
        <v>0</v>
      </c>
    </row>
    <row r="14" spans="2:6" x14ac:dyDescent="0.3">
      <c r="B14" s="63"/>
      <c r="C14" s="63" t="s">
        <v>79</v>
      </c>
      <c r="E14" s="67">
        <v>0</v>
      </c>
      <c r="F14" s="63"/>
    </row>
    <row r="15" spans="2:6" ht="6" customHeight="1" x14ac:dyDescent="0.3">
      <c r="B15" s="63"/>
      <c r="C15" s="63"/>
      <c r="E15" s="63"/>
      <c r="F15" s="67"/>
    </row>
    <row r="16" spans="2:6" x14ac:dyDescent="0.3">
      <c r="B16" s="69"/>
      <c r="C16" s="69" t="s">
        <v>80</v>
      </c>
      <c r="D16" s="69"/>
      <c r="E16" s="70"/>
      <c r="F16" s="71">
        <f>F8-F13</f>
        <v>3306</v>
      </c>
    </row>
    <row r="17" spans="2:6" x14ac:dyDescent="0.3">
      <c r="B17" s="63"/>
      <c r="C17" s="63"/>
      <c r="E17" s="63"/>
      <c r="F17" s="66"/>
    </row>
    <row r="18" spans="2:6" x14ac:dyDescent="0.3">
      <c r="B18" s="64" t="s">
        <v>81</v>
      </c>
      <c r="C18" s="63"/>
      <c r="E18" s="63"/>
      <c r="F18" s="66">
        <f>SUM(E19:E23)</f>
        <v>8814</v>
      </c>
    </row>
    <row r="19" spans="2:6" x14ac:dyDescent="0.3">
      <c r="B19" s="63"/>
      <c r="C19" s="65" t="str">
        <f>+MAYORES!N10</f>
        <v>ASEO Y LIMPIEZA</v>
      </c>
      <c r="D19" s="65"/>
      <c r="E19" s="65">
        <f>+MAYORES!N11</f>
        <v>217.5</v>
      </c>
      <c r="F19" s="66"/>
    </row>
    <row r="20" spans="2:6" s="74" customFormat="1" x14ac:dyDescent="0.3">
      <c r="C20" s="78" t="s">
        <v>113</v>
      </c>
      <c r="D20" s="78"/>
      <c r="E20" s="78">
        <f>+'BAL. SUMAS Y SALDOS - HOJA DE T'!H14</f>
        <v>478.5</v>
      </c>
      <c r="F20" s="79"/>
    </row>
    <row r="21" spans="2:6" s="74" customFormat="1" x14ac:dyDescent="0.3">
      <c r="C21" s="78" t="s">
        <v>60</v>
      </c>
      <c r="D21" s="78"/>
      <c r="E21" s="78">
        <f>+'BAL. SUMAS Y SALDOS - HOJA DE T'!H15</f>
        <v>6960</v>
      </c>
      <c r="F21" s="79"/>
    </row>
    <row r="22" spans="2:6" s="74" customFormat="1" x14ac:dyDescent="0.3">
      <c r="C22" s="78" t="s">
        <v>93</v>
      </c>
      <c r="D22" s="78"/>
      <c r="E22" s="78">
        <f>+MAYORES!E30</f>
        <v>1044</v>
      </c>
      <c r="F22" s="79"/>
    </row>
    <row r="23" spans="2:6" x14ac:dyDescent="0.3">
      <c r="B23" s="63"/>
      <c r="C23" s="65" t="s">
        <v>31</v>
      </c>
      <c r="D23" s="65"/>
      <c r="E23" s="67">
        <f>+MAYORES!K24</f>
        <v>114</v>
      </c>
      <c r="F23" s="66"/>
    </row>
    <row r="24" spans="2:6" x14ac:dyDescent="0.3">
      <c r="B24" s="63"/>
      <c r="C24" s="63"/>
      <c r="E24" s="63"/>
      <c r="F24" s="72"/>
    </row>
    <row r="25" spans="2:6" x14ac:dyDescent="0.3">
      <c r="B25" s="63"/>
      <c r="C25" s="68" t="s">
        <v>88</v>
      </c>
      <c r="D25" s="68"/>
      <c r="E25" s="63"/>
      <c r="F25" s="66">
        <f>F16-F18</f>
        <v>-5508</v>
      </c>
    </row>
    <row r="26" spans="2:6" x14ac:dyDescent="0.3">
      <c r="B26" s="63"/>
      <c r="C26" s="63"/>
      <c r="E26" s="63"/>
      <c r="F26" s="66"/>
    </row>
    <row r="27" spans="2:6" x14ac:dyDescent="0.3">
      <c r="B27" s="64" t="s">
        <v>82</v>
      </c>
      <c r="C27" s="64" t="s">
        <v>83</v>
      </c>
      <c r="D27" s="64"/>
      <c r="E27" s="66"/>
      <c r="F27" s="66">
        <v>0</v>
      </c>
    </row>
    <row r="28" spans="2:6" x14ac:dyDescent="0.3">
      <c r="B28" s="63"/>
      <c r="C28" s="65" t="s">
        <v>64</v>
      </c>
      <c r="D28" s="65"/>
      <c r="E28" s="67">
        <v>0</v>
      </c>
      <c r="F28" s="63"/>
    </row>
    <row r="29" spans="2:6" x14ac:dyDescent="0.3">
      <c r="B29" s="63"/>
      <c r="C29" s="63"/>
      <c r="E29" s="63"/>
      <c r="F29" s="63"/>
    </row>
    <row r="30" spans="2:6" ht="15" thickBot="1" x14ac:dyDescent="0.35">
      <c r="B30" s="63"/>
      <c r="C30" s="68" t="s">
        <v>84</v>
      </c>
      <c r="D30" s="68"/>
      <c r="E30" s="63"/>
      <c r="F30" s="73">
        <f>F25-F27</f>
        <v>-5508</v>
      </c>
    </row>
    <row r="31" spans="2:6" ht="15" thickTop="1" x14ac:dyDescent="0.3">
      <c r="B31" s="63"/>
      <c r="C31" s="63"/>
      <c r="E31" s="63"/>
      <c r="F31" s="62"/>
    </row>
    <row r="32" spans="2:6" x14ac:dyDescent="0.3">
      <c r="B32" s="62"/>
      <c r="C32" s="62"/>
      <c r="E32" s="62"/>
      <c r="F32" s="62"/>
    </row>
    <row r="33" spans="2:6" x14ac:dyDescent="0.3">
      <c r="B33" s="62"/>
      <c r="C33" s="62"/>
      <c r="E33" s="62"/>
      <c r="F33" s="62"/>
    </row>
    <row r="34" spans="2:6" x14ac:dyDescent="0.3">
      <c r="B34" s="62"/>
      <c r="C34" s="62"/>
      <c r="E34" s="62"/>
      <c r="F34" s="62"/>
    </row>
    <row r="35" spans="2:6" x14ac:dyDescent="0.3">
      <c r="B35" s="63"/>
      <c r="C35" s="15" t="s">
        <v>85</v>
      </c>
      <c r="D35" s="60"/>
      <c r="E35" s="61" t="s">
        <v>7</v>
      </c>
      <c r="F35" s="61"/>
    </row>
  </sheetData>
  <mergeCells count="4">
    <mergeCell ref="E35:F35"/>
    <mergeCell ref="B4:F4"/>
    <mergeCell ref="B5:F5"/>
    <mergeCell ref="B6:F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2E731-4125-4FE0-A271-5E069C481DB5}">
  <dimension ref="B2:I41"/>
  <sheetViews>
    <sheetView topLeftCell="A12" workbookViewId="0">
      <selection activeCell="C34" sqref="C34"/>
    </sheetView>
  </sheetViews>
  <sheetFormatPr baseColWidth="10" defaultRowHeight="14.4" x14ac:dyDescent="0.3"/>
  <cols>
    <col min="1" max="1" width="1.88671875" customWidth="1"/>
    <col min="2" max="2" width="2.109375" customWidth="1"/>
    <col min="3" max="3" width="32.109375" customWidth="1"/>
    <col min="4" max="4" width="5.5546875" style="74" customWidth="1"/>
  </cols>
  <sheetData>
    <row r="2" spans="2:6" x14ac:dyDescent="0.3">
      <c r="B2" s="75" t="s">
        <v>94</v>
      </c>
      <c r="C2" s="74"/>
      <c r="E2" s="74"/>
      <c r="F2" s="74"/>
    </row>
    <row r="3" spans="2:6" x14ac:dyDescent="0.3">
      <c r="B3" s="74"/>
      <c r="C3" s="74"/>
      <c r="E3" s="74"/>
      <c r="F3" s="74"/>
    </row>
    <row r="4" spans="2:6" x14ac:dyDescent="0.3">
      <c r="B4" s="17" t="s">
        <v>50</v>
      </c>
      <c r="C4" s="17"/>
      <c r="D4" s="17"/>
      <c r="E4" s="17"/>
      <c r="F4" s="17"/>
    </row>
    <row r="5" spans="2:6" x14ac:dyDescent="0.3">
      <c r="B5" s="17" t="s">
        <v>90</v>
      </c>
      <c r="C5" s="17"/>
      <c r="D5" s="17"/>
      <c r="E5" s="17"/>
      <c r="F5" s="17"/>
    </row>
    <row r="6" spans="2:6" x14ac:dyDescent="0.3">
      <c r="B6" s="17" t="s">
        <v>72</v>
      </c>
      <c r="C6" s="17"/>
      <c r="D6" s="17"/>
      <c r="E6" s="17"/>
      <c r="F6" s="17"/>
    </row>
    <row r="7" spans="2:6" x14ac:dyDescent="0.3">
      <c r="B7" s="74"/>
      <c r="C7" s="74"/>
      <c r="E7" s="74"/>
      <c r="F7" s="74"/>
    </row>
    <row r="8" spans="2:6" x14ac:dyDescent="0.3">
      <c r="B8" s="75" t="s">
        <v>2</v>
      </c>
      <c r="C8" s="75"/>
      <c r="D8" s="75"/>
      <c r="E8" s="79"/>
      <c r="F8" s="79"/>
    </row>
    <row r="9" spans="2:6" x14ac:dyDescent="0.3">
      <c r="B9" s="75"/>
      <c r="C9" s="75" t="s">
        <v>21</v>
      </c>
      <c r="D9" s="75"/>
      <c r="E9" s="79"/>
      <c r="F9" s="79">
        <f>SUM(E10:E14)</f>
        <v>302300</v>
      </c>
    </row>
    <row r="10" spans="2:6" x14ac:dyDescent="0.3">
      <c r="B10" s="74"/>
      <c r="C10" s="74" t="s">
        <v>57</v>
      </c>
      <c r="E10" s="78">
        <f>'BAL. SUMAS Y SALDOS - HOJA DE T'!J9</f>
        <v>90550</v>
      </c>
      <c r="F10" s="74"/>
    </row>
    <row r="11" spans="2:6" x14ac:dyDescent="0.3">
      <c r="B11" s="74"/>
      <c r="C11" s="78" t="s">
        <v>98</v>
      </c>
      <c r="D11" s="78"/>
      <c r="E11" s="78">
        <f>'BAL. SUMAS Y SALDOS - HOJA DE T'!J8</f>
        <v>115250</v>
      </c>
      <c r="F11" s="74"/>
    </row>
    <row r="12" spans="2:6" x14ac:dyDescent="0.3">
      <c r="B12" s="74"/>
      <c r="C12" s="78" t="s">
        <v>36</v>
      </c>
      <c r="D12" s="78"/>
      <c r="E12" s="78">
        <f>+'BAL. SUMAS Y SALDOS - HOJA DE T'!J11</f>
        <v>3276</v>
      </c>
      <c r="F12" s="74"/>
    </row>
    <row r="13" spans="2:6" s="74" customFormat="1" x14ac:dyDescent="0.3">
      <c r="C13" s="78" t="str">
        <f>+'BAL. SUMAS Y SALDOS - HOJA DE T'!B20</f>
        <v>SEGURO PAGADO POR ADELANTADO</v>
      </c>
      <c r="D13" s="78"/>
      <c r="E13" s="78">
        <f>+'BAL. SUMAS Y SALDOS - HOJA DE T'!J20</f>
        <v>2088</v>
      </c>
    </row>
    <row r="14" spans="2:6" s="74" customFormat="1" x14ac:dyDescent="0.3">
      <c r="C14" s="78" t="s">
        <v>65</v>
      </c>
      <c r="D14" s="78"/>
      <c r="E14" s="80">
        <f>+'BAL. SUMAS Y SALDOS - HOJA DE T'!J18</f>
        <v>91136</v>
      </c>
    </row>
    <row r="16" spans="2:6" x14ac:dyDescent="0.3">
      <c r="B16" s="75"/>
      <c r="C16" s="75" t="s">
        <v>23</v>
      </c>
      <c r="D16" s="75"/>
      <c r="E16" s="79"/>
      <c r="F16" s="79">
        <f>SUM(E17)</f>
        <v>95000</v>
      </c>
    </row>
    <row r="17" spans="2:9" x14ac:dyDescent="0.3">
      <c r="B17" s="74"/>
      <c r="C17" s="78" t="s">
        <v>99</v>
      </c>
      <c r="D17" s="78"/>
      <c r="E17" s="80">
        <f>+'BAL. SUMAS Y SALDOS - HOJA DE T'!J21</f>
        <v>95000</v>
      </c>
      <c r="F17" s="74"/>
    </row>
    <row r="18" spans="2:9" ht="4.2" customHeight="1" x14ac:dyDescent="0.3">
      <c r="B18" s="74"/>
      <c r="C18" s="74"/>
      <c r="E18" s="74"/>
      <c r="F18" s="74"/>
    </row>
    <row r="19" spans="2:9" ht="15" thickBot="1" x14ac:dyDescent="0.35">
      <c r="B19" s="75"/>
      <c r="C19" s="82" t="s">
        <v>25</v>
      </c>
      <c r="D19" s="82"/>
      <c r="E19" s="79"/>
      <c r="F19" s="87">
        <f>F9+F16</f>
        <v>397300</v>
      </c>
    </row>
    <row r="20" spans="2:9" ht="15" thickTop="1" x14ac:dyDescent="0.3">
      <c r="B20" s="74"/>
      <c r="C20" s="74"/>
      <c r="E20" s="74"/>
      <c r="F20" s="74"/>
    </row>
    <row r="21" spans="2:9" x14ac:dyDescent="0.3">
      <c r="B21" s="75" t="s">
        <v>26</v>
      </c>
      <c r="C21" s="75"/>
      <c r="D21" s="75"/>
      <c r="E21" s="79"/>
      <c r="F21" s="79"/>
    </row>
    <row r="22" spans="2:9" x14ac:dyDescent="0.3">
      <c r="B22" s="75"/>
      <c r="C22" s="75" t="s">
        <v>27</v>
      </c>
      <c r="D22" s="75"/>
      <c r="E22" s="79"/>
      <c r="F22" s="79">
        <f>SUM(E23:E25)</f>
        <v>82808</v>
      </c>
    </row>
    <row r="23" spans="2:9" x14ac:dyDescent="0.3">
      <c r="B23" s="74"/>
      <c r="C23" s="78" t="s">
        <v>33</v>
      </c>
      <c r="D23" s="78"/>
      <c r="E23" s="78">
        <f>+'BAL. SUMAS Y SALDOS - HOJA DE T'!K17</f>
        <v>114</v>
      </c>
      <c r="F23" s="74"/>
    </row>
    <row r="24" spans="2:9" x14ac:dyDescent="0.3">
      <c r="B24" s="74"/>
      <c r="C24" s="78" t="str">
        <f>+'BAL. SUMAS Y SALDOS - HOJA DE T'!B13</f>
        <v xml:space="preserve">DEBITO FISCAL </v>
      </c>
      <c r="D24" s="78"/>
      <c r="E24" s="78">
        <f>+'BAL. SUMAS Y SALDOS - HOJA DE T'!K13</f>
        <v>494</v>
      </c>
      <c r="F24" s="74"/>
    </row>
    <row r="25" spans="2:9" x14ac:dyDescent="0.3">
      <c r="B25" s="74"/>
      <c r="C25" s="78" t="s">
        <v>34</v>
      </c>
      <c r="D25" s="78"/>
      <c r="E25" s="80">
        <f>+'BAL. SUMAS Y SALDOS - HOJA DE T'!K10</f>
        <v>82200</v>
      </c>
      <c r="F25" s="74"/>
    </row>
    <row r="26" spans="2:9" x14ac:dyDescent="0.3">
      <c r="B26" s="74"/>
      <c r="C26" s="74"/>
      <c r="E26" s="74"/>
      <c r="F26" s="74"/>
    </row>
    <row r="27" spans="2:9" x14ac:dyDescent="0.3">
      <c r="B27" s="75"/>
      <c r="C27" s="75" t="s">
        <v>28</v>
      </c>
      <c r="D27" s="75"/>
      <c r="E27" s="79"/>
      <c r="F27" s="79">
        <f>SUM(E28)</f>
        <v>0</v>
      </c>
      <c r="I27" s="78"/>
    </row>
    <row r="28" spans="2:9" x14ac:dyDescent="0.3">
      <c r="B28" s="74"/>
      <c r="C28" s="78"/>
      <c r="D28" s="78"/>
      <c r="E28" s="80"/>
      <c r="F28" s="74"/>
    </row>
    <row r="29" spans="2:9" x14ac:dyDescent="0.3">
      <c r="B29" s="74"/>
      <c r="C29" s="74"/>
      <c r="E29" s="74"/>
      <c r="F29" s="74"/>
    </row>
    <row r="30" spans="2:9" x14ac:dyDescent="0.3">
      <c r="B30" s="75" t="s">
        <v>4</v>
      </c>
      <c r="C30" s="75"/>
      <c r="D30" s="75"/>
      <c r="E30" s="79"/>
      <c r="F30" s="79"/>
    </row>
    <row r="31" spans="2:9" x14ac:dyDescent="0.3">
      <c r="B31" s="75"/>
      <c r="C31" s="75" t="s">
        <v>89</v>
      </c>
      <c r="D31" s="75"/>
      <c r="E31" s="79"/>
      <c r="F31" s="79">
        <f>E32+E33</f>
        <v>314492</v>
      </c>
    </row>
    <row r="32" spans="2:9" x14ac:dyDescent="0.3">
      <c r="B32" s="75"/>
      <c r="C32" s="78" t="s">
        <v>14</v>
      </c>
      <c r="D32" s="78"/>
      <c r="E32" s="78">
        <f>+'BAL. SUMAS Y SALDOS - HOJA DE T'!K23</f>
        <v>320000</v>
      </c>
      <c r="F32" s="79"/>
    </row>
    <row r="33" spans="2:6" x14ac:dyDescent="0.3">
      <c r="B33" s="74"/>
      <c r="C33" s="74" t="s">
        <v>84</v>
      </c>
      <c r="E33" s="88">
        <f>+'ESTADO DE RESULTADOS'!F30</f>
        <v>-5508</v>
      </c>
      <c r="F33" s="74"/>
    </row>
    <row r="34" spans="2:6" x14ac:dyDescent="0.3">
      <c r="B34" s="75"/>
      <c r="C34" s="75"/>
      <c r="D34" s="75"/>
      <c r="E34" s="79"/>
      <c r="F34" s="79"/>
    </row>
    <row r="35" spans="2:6" x14ac:dyDescent="0.3">
      <c r="B35" s="74"/>
      <c r="C35" s="74"/>
      <c r="E35" s="74"/>
      <c r="F35" s="74"/>
    </row>
    <row r="36" spans="2:6" ht="15" thickBot="1" x14ac:dyDescent="0.35">
      <c r="B36" s="74"/>
      <c r="C36" s="82" t="s">
        <v>6</v>
      </c>
      <c r="D36" s="82"/>
      <c r="E36" s="74"/>
      <c r="F36" s="87">
        <f>F22+F27+F31</f>
        <v>397300</v>
      </c>
    </row>
    <row r="37" spans="2:6" ht="15" thickTop="1" x14ac:dyDescent="0.3">
      <c r="B37" s="74"/>
      <c r="C37" s="74"/>
      <c r="E37" s="74"/>
      <c r="F37" s="74"/>
    </row>
    <row r="41" spans="2:6" x14ac:dyDescent="0.3">
      <c r="B41" s="75"/>
      <c r="C41" s="15" t="s">
        <v>85</v>
      </c>
      <c r="D41" s="75"/>
      <c r="E41" s="61" t="s">
        <v>7</v>
      </c>
      <c r="F41" s="61"/>
    </row>
  </sheetData>
  <mergeCells count="4">
    <mergeCell ref="B4:F4"/>
    <mergeCell ref="B5:F5"/>
    <mergeCell ref="B6:F6"/>
    <mergeCell ref="E41:F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BALANCE DE APERTURA</vt:lpstr>
      <vt:lpstr>LIBRO DIARIO</vt:lpstr>
      <vt:lpstr>MAYORES</vt:lpstr>
      <vt:lpstr>BAL. SUMAS Y SALDOS - HOJA DE T</vt:lpstr>
      <vt:lpstr>ESTADO DE RESULTADOS</vt:lpstr>
      <vt:lpstr>BALANCE 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subirana tani</dc:creator>
  <cp:lastModifiedBy>edgar subirana tani</cp:lastModifiedBy>
  <dcterms:created xsi:type="dcterms:W3CDTF">2023-12-06T04:07:46Z</dcterms:created>
  <dcterms:modified xsi:type="dcterms:W3CDTF">2023-12-19T04:31:13Z</dcterms:modified>
</cp:coreProperties>
</file>