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D8ED4DAF-4986-4E7B-A79B-EC2AAAC49533}" xr6:coauthVersionLast="43" xr6:coauthVersionMax="43" xr10:uidLastSave="{00000000-0000-0000-0000-000000000000}"/>
  <bookViews>
    <workbookView xWindow="-108" yWindow="-108" windowWidth="23256" windowHeight="12456" activeTab="3" xr2:uid="{00000000-000D-0000-FFFF-FFFF00000000}"/>
  </bookViews>
  <sheets>
    <sheet name="Plan de cuentas" sheetId="1" r:id="rId1"/>
    <sheet name="b. apertura" sheetId="3" r:id="rId2"/>
    <sheet name="BALANCE DE APERTURA" sheetId="7" r:id="rId3"/>
    <sheet name="LIBRO DIARIO" sheetId="6" r:id="rId4"/>
    <sheet name="Hoja2" sheetId="9" state="hidden" r:id="rId5"/>
  </sheets>
  <definedNames>
    <definedName name="_xlnm._FilterDatabase" localSheetId="0" hidden="1">'Plan de cuentas'!$A$1:$C$267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6" i="7" l="1"/>
  <c r="D10" i="7"/>
  <c r="E25" i="3"/>
  <c r="F28" i="3"/>
  <c r="F19" i="3"/>
  <c r="E11" i="3"/>
  <c r="E9" i="3"/>
  <c r="F13" i="3"/>
  <c r="F21" i="3"/>
  <c r="E31" i="3"/>
  <c r="F30" i="3"/>
  <c r="F33" i="3"/>
</calcChain>
</file>

<file path=xl/sharedStrings.xml><?xml version="1.0" encoding="utf-8"?>
<sst xmlns="http://schemas.openxmlformats.org/spreadsheetml/2006/main" count="357" uniqueCount="311">
  <si>
    <t>ACTIVO</t>
  </si>
  <si>
    <t>ACTIVO DISPONIBLE</t>
  </si>
  <si>
    <t>ACTIVO EXIGIBLE</t>
  </si>
  <si>
    <t>OTRAS CUENTAS POR COBRAR</t>
  </si>
  <si>
    <t>ACTIVO REALIZABLE</t>
  </si>
  <si>
    <t>EQUIPOS E INSTALACIONES</t>
  </si>
  <si>
    <t>EQUIPOS DE COMPUTACION</t>
  </si>
  <si>
    <t>HERRAMIENTAS</t>
  </si>
  <si>
    <t>INVERSIONES</t>
  </si>
  <si>
    <t>ACTIVO DIFERIDO</t>
  </si>
  <si>
    <t>CONSTRUCCIONES CIVILES</t>
  </si>
  <si>
    <t>PASIVO</t>
  </si>
  <si>
    <t>PASIVO CORRIENTE</t>
  </si>
  <si>
    <t>ANTICIPOS DE CLIENTES M/N</t>
  </si>
  <si>
    <t>OBLIGACIONES FISCALES POR PAGAR</t>
  </si>
  <si>
    <t>CAPITAL SOCIAL</t>
  </si>
  <si>
    <t>CAPITAL PAGADO</t>
  </si>
  <si>
    <t>RESERVAS</t>
  </si>
  <si>
    <t>RESULTADOS ACUMULADOS</t>
  </si>
  <si>
    <t>INGRESOS</t>
  </si>
  <si>
    <t>INGRESOS OPERATIVOS</t>
  </si>
  <si>
    <t>INGRESOS NO OPERATIVOS</t>
  </si>
  <si>
    <t>INGRESOS FINANCIEROS</t>
  </si>
  <si>
    <t>INTERESES GANADOS EN CTAS. CTES.</t>
  </si>
  <si>
    <t>COMISIONES GANADAS</t>
  </si>
  <si>
    <t>BONO DE ANTIGÜEDAD</t>
  </si>
  <si>
    <t>HORAS EXTRAS</t>
  </si>
  <si>
    <t>BONOS</t>
  </si>
  <si>
    <t>HONORARIOS PROFESIONALES</t>
  </si>
  <si>
    <t>SEGUROS</t>
  </si>
  <si>
    <t>MANTENIMIENTO DE MUEBLES Y ENSERES</t>
  </si>
  <si>
    <t>TASAS Y PATENTES MUNICIPALES</t>
  </si>
  <si>
    <t>GASTOS GENERALES</t>
  </si>
  <si>
    <t>IMPRENTA</t>
  </si>
  <si>
    <t>DEPRECIACION MUEBLES Y ENSERES</t>
  </si>
  <si>
    <t>DEPRECIACION EQUIPOS E INSTALACIONES</t>
  </si>
  <si>
    <t>DEPRECIACION EQUIPOS DE COMPUTACION</t>
  </si>
  <si>
    <t>DEPRECIACION MAQUINARIAS Y EQUIPOS</t>
  </si>
  <si>
    <t>DEPRECIACION HERRAMIENTAS</t>
  </si>
  <si>
    <t>GASTOS TRIBUTARIOS</t>
  </si>
  <si>
    <t>GASTOS DE COMERCIALIZACION</t>
  </si>
  <si>
    <t>AGUINALDOS</t>
  </si>
  <si>
    <t>GASTOS DE REPRESENTACION</t>
  </si>
  <si>
    <t>PUBLICIDAD Y PROPAGANDA</t>
  </si>
  <si>
    <t>MARKETING</t>
  </si>
  <si>
    <t>GASTOS BANCARIOS</t>
  </si>
  <si>
    <t>INTERESES BANCARIOS</t>
  </si>
  <si>
    <t>DIFERENCIA POR REDONDEOS</t>
  </si>
  <si>
    <t>MULTAS Y SANCIONES - TRIBUTOS FISCALES</t>
  </si>
  <si>
    <t>RETIROS DE DINERO DE SOCIOS</t>
  </si>
  <si>
    <t>CODIGO</t>
  </si>
  <si>
    <t>CUENTA</t>
  </si>
  <si>
    <t>CLASIFICACION FLUJO</t>
  </si>
  <si>
    <t>CAJAS</t>
  </si>
  <si>
    <t>CAJA CHICAS</t>
  </si>
  <si>
    <t>BANCOS M/N</t>
  </si>
  <si>
    <t xml:space="preserve">ANTICIPO DE PROVEEDORES LOCALES  </t>
  </si>
  <si>
    <t>FONDOS A RENDIR</t>
  </si>
  <si>
    <t>PRESTAMOS A TERCEROS</t>
  </si>
  <si>
    <t>PRESTAMOS AL PERSONAL</t>
  </si>
  <si>
    <t>CUENTAS TRIBUTARIAS</t>
  </si>
  <si>
    <t>I.T.PAGADO POR ANTICIPADO</t>
  </si>
  <si>
    <t>(-)PREV. PARA CUENTA INCOBRABLES M/N</t>
  </si>
  <si>
    <t>(-)PREV.CUENTAS INCOBRABLES M/E</t>
  </si>
  <si>
    <t>INVENTARIOS DE MERCADERIAS</t>
  </si>
  <si>
    <t>GASTOS DE ORGANIZACION</t>
  </si>
  <si>
    <t>ACTIVO FIJO</t>
  </si>
  <si>
    <t>TERRENOS</t>
  </si>
  <si>
    <t>EDIFICIOS</t>
  </si>
  <si>
    <t>EDIFICIOS Y CONSTRUCCIONES</t>
  </si>
  <si>
    <t>DEP.ACUM.EDIFICIOS Y CONSTRUCCIONES</t>
  </si>
  <si>
    <t>MUEBLES Y ENSERES</t>
  </si>
  <si>
    <t>DEP.ACUM. MUEBLES Y ENSERES</t>
  </si>
  <si>
    <t>DEP.ACUML.HERRAMIENTAS</t>
  </si>
  <si>
    <t>MAQUINARIA Y EQUIPOS</t>
  </si>
  <si>
    <t>MAQUINARIA Y EQUIPO</t>
  </si>
  <si>
    <t>DEP.ACUMUL.MAQ.Y EQUIPO</t>
  </si>
  <si>
    <t>VEHICULOS</t>
  </si>
  <si>
    <t>DEP.ACUMUL.VEHICULOS</t>
  </si>
  <si>
    <t>DEP.ACUML.EQUIPO DE COMP.</t>
  </si>
  <si>
    <t>EQUPOS E INSTLACIONES</t>
  </si>
  <si>
    <t>DEP.ACUML.EQUIPOS E INSTALACIONES</t>
  </si>
  <si>
    <t>INVERSIONES EN OTRAS EMPRESAS</t>
  </si>
  <si>
    <t>ACCIONES TELEFONICAS</t>
  </si>
  <si>
    <t>INTANGIBLES</t>
  </si>
  <si>
    <t>LICENCIA DE USO SISTEMA</t>
  </si>
  <si>
    <t>OBRAS EN EJECUCION</t>
  </si>
  <si>
    <t>CUENTAS POR PAGAR COMERCIALES</t>
  </si>
  <si>
    <t>CUENTAS POR PAGAR A PROVEEDORES</t>
  </si>
  <si>
    <t>OTRAS CUENTAS POR PAGAR</t>
  </si>
  <si>
    <t>SERVICIOS BASICOS</t>
  </si>
  <si>
    <t>CRE POR PAGAR</t>
  </si>
  <si>
    <t>SAGUAPAC POR PAGAR</t>
  </si>
  <si>
    <t>TELECEL-INTERNET POR PAGAR</t>
  </si>
  <si>
    <t>COTAS POR PAGAR</t>
  </si>
  <si>
    <t>TIGO POR PAGAR</t>
  </si>
  <si>
    <t>BOLIVIATEL POR PAGAR</t>
  </si>
  <si>
    <t>CUENTAS POR PAGAR A CLIENTES</t>
  </si>
  <si>
    <t>DEVOLUCIONES A CLIENTES M/N</t>
  </si>
  <si>
    <t>IMPUESTO A LAS TRANSACCIONES POR PAGAR</t>
  </si>
  <si>
    <t>IMPUESTO A LAS UTILIDADES POR PAGAR</t>
  </si>
  <si>
    <t>IMPUESTO AL VALOR AGREGADO POR PAGAR</t>
  </si>
  <si>
    <t>PATENTE MUNICIPAL POR PAGAR</t>
  </si>
  <si>
    <t>IMPUESTOS A LOS VEHICULOS POR PAGAR</t>
  </si>
  <si>
    <t>IMPUESTOS A LOS INMUEBLES POR PAGAR</t>
  </si>
  <si>
    <t>APORTES SOCIALES POR PAGAR</t>
  </si>
  <si>
    <t>OBLIGACIONES CON EL PERSONAL</t>
  </si>
  <si>
    <t>SUELDOS Y SALARIOS POR PAGAR</t>
  </si>
  <si>
    <t>AGUINALDO POR PAGAR</t>
  </si>
  <si>
    <t>SUBSIDIO POR PAGAR</t>
  </si>
  <si>
    <t>COMISIONES SOBRE VENTAS POR PAGAR</t>
  </si>
  <si>
    <t>COMISION SOBRE COBRANZAS POR PAGAR</t>
  </si>
  <si>
    <t>BONOS AL PERSONAL POR PAGAR</t>
  </si>
  <si>
    <t>PASIVO NO CORRIENTE</t>
  </si>
  <si>
    <t>PROVISIONES Y PREVISIONES</t>
  </si>
  <si>
    <t xml:space="preserve">PREVISION PARA INDEMIZACION </t>
  </si>
  <si>
    <t>PROVISION PARA AGUINALDO</t>
  </si>
  <si>
    <t>PRESTAMOS BANCARIOS</t>
  </si>
  <si>
    <t>PATRIMONIO</t>
  </si>
  <si>
    <t>RESULTADOS</t>
  </si>
  <si>
    <t>RESULTADOS DE LA GESTION</t>
  </si>
  <si>
    <t>RESERVAS LEGALES</t>
  </si>
  <si>
    <t>AJUSTES</t>
  </si>
  <si>
    <t>AJUSTE DE CAPITAL</t>
  </si>
  <si>
    <t>AJUSTE DE RESERVAS PATRIMONIALES</t>
  </si>
  <si>
    <t>VENTAS DE PRODUCTOS</t>
  </si>
  <si>
    <t>RECARGO SOBRE VENTAS</t>
  </si>
  <si>
    <t>DESCUENTOS SOBRE VENTAS</t>
  </si>
  <si>
    <t>DEVOLUCIONES SOBRE VENTAS</t>
  </si>
  <si>
    <t>BONIFICACION EN COMPRAS</t>
  </si>
  <si>
    <t>VENTA DE ACTIVO FIJO</t>
  </si>
  <si>
    <t>OTROS INGRESOS</t>
  </si>
  <si>
    <t>CORRECCION MONETARIA</t>
  </si>
  <si>
    <t>DIFERENCIA DE CAMBIO</t>
  </si>
  <si>
    <t>A.I.T.B.</t>
  </si>
  <si>
    <t>MANTENIMIENTO DE VALOR</t>
  </si>
  <si>
    <t>DIFERENCIA POR REDONDEO</t>
  </si>
  <si>
    <t>COSTO</t>
  </si>
  <si>
    <t>COSTO DE VENTAS</t>
  </si>
  <si>
    <t>COSTO MERCADERIA VENDIDA</t>
  </si>
  <si>
    <t>COSTO DE FLETES Y ACARREOS</t>
  </si>
  <si>
    <t>DIFERENCIA EN INVENTARIOS</t>
  </si>
  <si>
    <t>DEGUSTACION Y MUESTRAS</t>
  </si>
  <si>
    <t>GASTOS</t>
  </si>
  <si>
    <t>GASTOS OPERATIVOS</t>
  </si>
  <si>
    <t>GASTOS EN EL PERSONAL</t>
  </si>
  <si>
    <t>SUELDOS Y SALARIOS</t>
  </si>
  <si>
    <t>BENEFICIOS SOCIALES Y OTROS</t>
  </si>
  <si>
    <t>VACACIONES</t>
  </si>
  <si>
    <t>SUBSIDIOS</t>
  </si>
  <si>
    <t>INDEMNIZACION</t>
  </si>
  <si>
    <t>REFRIGERIO</t>
  </si>
  <si>
    <t>COMISION SOBRE COBRANZA</t>
  </si>
  <si>
    <t>BONO DE NATALIDAD</t>
  </si>
  <si>
    <t>TRANSPORTE Y OTROS</t>
  </si>
  <si>
    <t>APORTES SOCIALES</t>
  </si>
  <si>
    <t>Aportes Patronal Ministerio de Trabajo</t>
  </si>
  <si>
    <t>Caja Nacional de Salud</t>
  </si>
  <si>
    <t>Formularios</t>
  </si>
  <si>
    <t>Multas y sanciones por aportes sociales</t>
  </si>
  <si>
    <t>GASTOS ADMINISTRATIVOS</t>
  </si>
  <si>
    <t>SOPORTE TECNICO</t>
  </si>
  <si>
    <t>COURRIER Y MENSAJERIA</t>
  </si>
  <si>
    <t>FOTOCOPIAS/ANILLADOS</t>
  </si>
  <si>
    <t>ENERGIA ELECTRICA</t>
  </si>
  <si>
    <t>AGUA</t>
  </si>
  <si>
    <t>TELEFONO FIJO</t>
  </si>
  <si>
    <t>TELEFONO CELULAR</t>
  </si>
  <si>
    <t>INTERNET</t>
  </si>
  <si>
    <t>MATERIALES Y SUMINISTROS</t>
  </si>
  <si>
    <t>MATERIAL DE ESCRITORIO</t>
  </si>
  <si>
    <t>MATERIAL DE LIMPIEZA</t>
  </si>
  <si>
    <t>MATERIAL DE COMPUTACION</t>
  </si>
  <si>
    <t>IMPUESTOS A LAS TRANSACCIONES</t>
  </si>
  <si>
    <t>IMPUESTO A LAS UTILIDADES DE LAS EMPRESAS</t>
  </si>
  <si>
    <t>IMPUESTO AUTOMOTOR</t>
  </si>
  <si>
    <t>IMPTO.  A LA PROP. DE BIENES INMUEBLES</t>
  </si>
  <si>
    <t>INTERESES Y MTTO. DE VALOR TRIBUTOS</t>
  </si>
  <si>
    <t>IMPTO. MUNICIPAL A LAS TRANSFERENCIAS</t>
  </si>
  <si>
    <t>MULTA POR INCUMPL. A LOS DEBERES FORMALES</t>
  </si>
  <si>
    <t>INTERES POR TRIBUTOS FISCALES</t>
  </si>
  <si>
    <t>MANTENIMIENTOS Y REPARACIONES</t>
  </si>
  <si>
    <t>MANTENIMIENTO DE EDIFICIOS</t>
  </si>
  <si>
    <t>MANTENIMIENTO DE OFICINA</t>
  </si>
  <si>
    <t>MANTENIMIENTO DE HERRAMIENTAS</t>
  </si>
  <si>
    <t>MANTENIMIENTO EQUIPO DE COMPUTACION</t>
  </si>
  <si>
    <t>MANTENIMIENTO SOFTWARE/HARDWARE</t>
  </si>
  <si>
    <t>GASTOS LEGALES Y OTROS</t>
  </si>
  <si>
    <t>TRANSPORTE-MOVILIZACIONES</t>
  </si>
  <si>
    <t>GASTOS EN MUEBLES DE OFICINA</t>
  </si>
  <si>
    <t>GASTOS EN EQUIPOS DE OFICINA</t>
  </si>
  <si>
    <t>GASTOS EN HERRAMIENTAS EN GENERAL</t>
  </si>
  <si>
    <t>GASTOS VARIOS</t>
  </si>
  <si>
    <t>GASTO EN REFRIGERIOS</t>
  </si>
  <si>
    <t>DEPRECIACION ACTIVOS FIJOS</t>
  </si>
  <si>
    <t>DEPRECIACION EDIFICIOS</t>
  </si>
  <si>
    <t>DEPRECIACION VEHICULOS</t>
  </si>
  <si>
    <t>CASTIGO CUENTAS INCOBRABLES</t>
  </si>
  <si>
    <t>COMISIONES Y GASTOS BANCARIOS</t>
  </si>
  <si>
    <t>CERTIFICACIONES</t>
  </si>
  <si>
    <t>DIFRENCIA EN TIPO DE CAMBIO</t>
  </si>
  <si>
    <t>COMBUSTIBLE Y LUBRICANTES</t>
  </si>
  <si>
    <t>UNIFORMES DE TRABAJO</t>
  </si>
  <si>
    <t>MANT. Y REPARACION DE VEHICULO</t>
  </si>
  <si>
    <t>PASAJES Y HOSPEDAJE</t>
  </si>
  <si>
    <t>ALQUILER ESPACIOS EN SUPERMERCADOS</t>
  </si>
  <si>
    <t>ALQUILER DE ISLAS EN SUPERMERCADOS</t>
  </si>
  <si>
    <t>NEVERAS</t>
  </si>
  <si>
    <t>IMPULSADORES EN SUPERMERCADOS VTAS.</t>
  </si>
  <si>
    <t>COMISIONES S/VTAS. AL PERSONAL</t>
  </si>
  <si>
    <t>COMISIONES S/VTAS. A TERCEROS</t>
  </si>
  <si>
    <t>GASTOS DE PRODUCCION</t>
  </si>
  <si>
    <t>FUMIGACION</t>
  </si>
  <si>
    <t>MANTENIMIENTO Y REP. DE MAQUINARIAS</t>
  </si>
  <si>
    <t>MANT.Y REPARACION EQUIPOS DE FRIO</t>
  </si>
  <si>
    <t>TRANSP.DE MATERIA PRIMA P/PROD.</t>
  </si>
  <si>
    <t>GUANTES GORROS BARBIJOS -PRODUCC.</t>
  </si>
  <si>
    <t>ANALISIS DE LABORATORIO - PRODUCC.</t>
  </si>
  <si>
    <t>MATERIALES Y OTROS P/PRODUCC.</t>
  </si>
  <si>
    <t>TRAMITES SANITARIOS Y OTROS</t>
  </si>
  <si>
    <t>GASTOS NO DEDUCIBLES</t>
  </si>
  <si>
    <t>AJUSTE P/INFLACION Y TENENCIA DE BIENES</t>
  </si>
  <si>
    <t>MANTTO DE VALOR</t>
  </si>
  <si>
    <t>BANCO 3</t>
  </si>
  <si>
    <t>BANCO 4</t>
  </si>
  <si>
    <t>FONDOS 1</t>
  </si>
  <si>
    <t>FONDOS 2</t>
  </si>
  <si>
    <t>FONDOS 3</t>
  </si>
  <si>
    <t>FONDOS 4</t>
  </si>
  <si>
    <t>PRESTAMO BANCARIO 1</t>
  </si>
  <si>
    <t>PRESTAMO BANCARIO 2</t>
  </si>
  <si>
    <t>OPERACIONES</t>
  </si>
  <si>
    <t>FINANCIAMIENTO</t>
  </si>
  <si>
    <t>DISPONIBLE</t>
  </si>
  <si>
    <t>no corresponde</t>
  </si>
  <si>
    <t>BANCO BISA 7468910017</t>
  </si>
  <si>
    <t>BANCO  UNION 10000033281069</t>
  </si>
  <si>
    <t>CUENTAS POR COBRAR SUBROGACION</t>
  </si>
  <si>
    <t>Empresa: LOS ANGELES SA</t>
  </si>
  <si>
    <t>Balance de Apertura</t>
  </si>
  <si>
    <t>Prácticado Al: 1 de Julio del 2022</t>
  </si>
  <si>
    <t>(Expresado en Bolivianos)</t>
  </si>
  <si>
    <t>ACTIVO CORRIENTE</t>
  </si>
  <si>
    <t>Caja M/N</t>
  </si>
  <si>
    <t>bienes de cambio</t>
  </si>
  <si>
    <t>inventario de Mercaderia</t>
  </si>
  <si>
    <t>Capital Social</t>
  </si>
  <si>
    <t>TOTAL PASIVO Y PATRIMONIO</t>
  </si>
  <si>
    <t>CONTADOR</t>
  </si>
  <si>
    <t xml:space="preserve">GERENTE </t>
  </si>
  <si>
    <t>TOTAL ACTIVO CORRIENTE</t>
  </si>
  <si>
    <t>ACTIVO NO CORRIENTE</t>
  </si>
  <si>
    <t>bienes de uso</t>
  </si>
  <si>
    <t>vehículos</t>
  </si>
  <si>
    <t>TOTAL ACTIVO NO CORRIENTE</t>
  </si>
  <si>
    <t>TOTAL ACTIVOS</t>
  </si>
  <si>
    <t>cuentas por pagar</t>
  </si>
  <si>
    <t>EXIGIBLE</t>
  </si>
  <si>
    <t>TOTAL PASIVOS</t>
  </si>
  <si>
    <t xml:space="preserve"> </t>
  </si>
  <si>
    <t>FECHA</t>
  </si>
  <si>
    <t>DETALLE</t>
  </si>
  <si>
    <t>DEBE</t>
  </si>
  <si>
    <t>HABER</t>
  </si>
  <si>
    <t xml:space="preserve">CREDITO FISCAL </t>
  </si>
  <si>
    <t>CAJA CHICA M/N</t>
  </si>
  <si>
    <t>VENTAS</t>
  </si>
  <si>
    <t>DEBITO FISCAL</t>
  </si>
  <si>
    <t>CUENTAS POR COBRAR CLIENTES</t>
  </si>
  <si>
    <t>CUENTAS POR COBRAR</t>
  </si>
  <si>
    <t>LIBRO DIARIO (COMPROBANTES)</t>
  </si>
  <si>
    <t>BALANCE DE APERTURA</t>
  </si>
  <si>
    <t>(Expresado en bolivianos)</t>
  </si>
  <si>
    <t>CAJA MONEDA NACIONAL</t>
  </si>
  <si>
    <t>INVENTARIO DE MERCADERIAS</t>
  </si>
  <si>
    <t>TOTAL ACTIVO</t>
  </si>
  <si>
    <t xml:space="preserve">     ------------ CT-01 ----------</t>
  </si>
  <si>
    <t xml:space="preserve">Glosa: Por inicio de actividades </t>
  </si>
  <si>
    <t xml:space="preserve">     ------------ CE-01 ----------</t>
  </si>
  <si>
    <t xml:space="preserve">     ------------ CT-02 ----------</t>
  </si>
  <si>
    <t>Glosa: por apertura de caja chica</t>
  </si>
  <si>
    <t xml:space="preserve">     ------------ CE-02 ----------</t>
  </si>
  <si>
    <t xml:space="preserve">     ------------ CE-03 ----------</t>
  </si>
  <si>
    <t xml:space="preserve">     ------------ CT-03 ----------</t>
  </si>
  <si>
    <t>BANCO GANADERO M/N</t>
  </si>
  <si>
    <t>BANCO UNION M/N</t>
  </si>
  <si>
    <t>APORTE LABORAL GESTORA POR PAGAR</t>
  </si>
  <si>
    <t>APORTE PATRONAL GESTORA POR PAGAR</t>
  </si>
  <si>
    <t>APORTE SOLIDARIO GESTORA POR PAGAR</t>
  </si>
  <si>
    <t>APORTES PATRONALES GESTORA 6.71%</t>
  </si>
  <si>
    <t>CAJA DE SALUD 10%</t>
  </si>
  <si>
    <t>PRIMAS</t>
  </si>
  <si>
    <t>CAJA DE SALUD POR PAGAR</t>
  </si>
  <si>
    <t>PRIMAS POR PAGAR</t>
  </si>
  <si>
    <t xml:space="preserve">Empresa LOS PINOS Ltda.   </t>
  </si>
  <si>
    <t>| Fecha | Descripción | Cuenta Débito | Cuenta Crédito | Monto Débito | Monto Crédito |</t>
  </si>
  <si>
    <t>| 01/03 | Se inicia el negocio con un aporte de los propietarios | Caja | Capital social | 500.000 | 500.000 |</t>
  </si>
  <si>
    <t>| 05/03 | Se cancela al contador por gastos de organización | Gastos de organización | Caja | 500 | 500 |</t>
  </si>
  <si>
    <t>| 12/03 | Se cancela por la patente municipal y formularios de afiliación | Gastos de patente y afiliación | Caja | 500 | 500 |</t>
  </si>
  <si>
    <t>| 17/03 | Se apertura una caja chica para realizar gastos menores | Caja chica | Caja | 3.000 | 3.000 |</t>
  </si>
  <si>
    <t>| 23/03 | Se apertura una cuenta corriente en el banco | Banco | Caja | 150.000 | 150.000 |</t>
  </si>
  <si>
    <t>| 29/03 | Se compran refrigerios con caja chica | Gastos de refrigerio | Caja chica | 0 | 0 |</t>
  </si>
  <si>
    <t xml:space="preserve">GASTOS DE ORGANIZACIÓN </t>
  </si>
  <si>
    <t>Glosa: Pago al contador por gastos de organización</t>
  </si>
  <si>
    <t>BANCO MERCANTIL M/N</t>
  </si>
  <si>
    <t>Glosa: por apertura de cta. Cte. BMSC</t>
  </si>
  <si>
    <t>REFRIGERIOS Y ALIMENTACION</t>
  </si>
  <si>
    <t>Glosa: por compra de refrigerios de caja chica</t>
  </si>
  <si>
    <t>PATENTE MUNICIPAL</t>
  </si>
  <si>
    <t>Glosa: Pago por patente municipal y formularios C.N.S</t>
  </si>
  <si>
    <t>Practicado al 01 de Marzo del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</si>
</sst>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2" fontId="0" fillId="0" borderId="0" xfId="0" applyNumberFormat="1"/>
    <xf numFmtId="43" fontId="0" fillId="0" borderId="0" xfId="0" applyNumberFormat="1"/>
    <xf numFmtId="0" fontId="9" fillId="0" borderId="0" xfId="0" applyFont="1"/>
    <xf numFmtId="2" fontId="1" fillId="0" borderId="1" xfId="0" applyNumberFormat="1" applyFont="1" applyBorder="1"/>
    <xf numFmtId="0" fontId="1" fillId="0" borderId="0" xfId="0" applyFont="1" applyAlignment="1">
      <alignment horizontal="center"/>
    </xf>
    <xf numFmtId="2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43" fontId="6" fillId="0" borderId="0" xfId="0" applyNumberFormat="1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1" fillId="0" borderId="0" xfId="0" applyFont="1"/>
    <xf numFmtId="4" fontId="0" fillId="0" borderId="0" xfId="0" applyNumberFormat="1"/>
    <xf numFmtId="0" fontId="12" fillId="0" borderId="0" xfId="0" applyFont="1"/>
    <xf numFmtId="4" fontId="1" fillId="0" borderId="0" xfId="0" applyNumberFormat="1" applyFont="1"/>
    <xf numFmtId="4" fontId="0" fillId="0" borderId="4" xfId="0" applyNumberFormat="1" applyBorder="1"/>
    <xf numFmtId="14" fontId="0" fillId="0" borderId="3" xfId="0" applyNumberFormat="1" applyBorder="1"/>
    <xf numFmtId="4" fontId="1" fillId="0" borderId="3" xfId="0" applyNumberFormat="1" applyFont="1" applyBorder="1" applyAlignment="1">
      <alignment horizontal="center" vertical="center"/>
    </xf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vertic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right"/>
    </xf>
    <xf numFmtId="0" fontId="0" fillId="0" borderId="0" xfId="0"/>
    <xf numFmtId="0" fontId="0" fillId="0" borderId="3" xfId="0" applyBorder="1"/>
    <xf numFmtId="14" fontId="0" fillId="0" borderId="3" xfId="0" applyNumberFormat="1" applyBorder="1"/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7"/>
  <sheetViews>
    <sheetView topLeftCell="A100" zoomScale="205" zoomScaleNormal="205" workbookViewId="0">
      <selection activeCell="B102" sqref="B102"/>
    </sheetView>
  </sheetViews>
  <sheetFormatPr baseColWidth="10" defaultColWidth="10.77734375" defaultRowHeight="14.4" x14ac:dyDescent="0.3"/>
  <cols>
    <col min="1" max="1" width="11.44140625" style="2"/>
    <col min="2" max="2" width="53.77734375" bestFit="1" customWidth="1"/>
    <col min="3" max="3" width="20.33203125" hidden="1" customWidth="1"/>
    <col min="4" max="5" width="0" hidden="1" customWidth="1"/>
    <col min="6" max="6" width="0" style="1" hidden="1" customWidth="1"/>
    <col min="7" max="7" width="22.77734375" hidden="1" customWidth="1"/>
  </cols>
  <sheetData>
    <row r="1" spans="1:7" x14ac:dyDescent="0.3">
      <c r="A1" s="4" t="s">
        <v>50</v>
      </c>
      <c r="B1" s="3" t="s">
        <v>51</v>
      </c>
      <c r="C1" s="3" t="s">
        <v>52</v>
      </c>
      <c r="F1" s="9">
        <v>0</v>
      </c>
      <c r="G1" t="s">
        <v>234</v>
      </c>
    </row>
    <row r="2" spans="1:7" x14ac:dyDescent="0.3">
      <c r="A2" s="21">
        <v>1</v>
      </c>
      <c r="B2" s="22" t="s">
        <v>0</v>
      </c>
      <c r="C2" s="8"/>
      <c r="F2" s="9">
        <v>1</v>
      </c>
      <c r="G2" t="s">
        <v>231</v>
      </c>
    </row>
    <row r="3" spans="1:7" x14ac:dyDescent="0.3">
      <c r="A3" s="4">
        <v>101</v>
      </c>
      <c r="B3" s="3" t="s">
        <v>1</v>
      </c>
      <c r="C3" s="8"/>
      <c r="F3" s="9">
        <v>2</v>
      </c>
      <c r="G3" t="s">
        <v>8</v>
      </c>
    </row>
    <row r="4" spans="1:7" x14ac:dyDescent="0.3">
      <c r="A4" s="4">
        <v>10101</v>
      </c>
      <c r="B4" s="3" t="s">
        <v>53</v>
      </c>
      <c r="C4" s="8"/>
      <c r="F4" s="9">
        <v>3</v>
      </c>
      <c r="G4" t="s">
        <v>232</v>
      </c>
    </row>
    <row r="5" spans="1:7" x14ac:dyDescent="0.3">
      <c r="A5" s="2">
        <v>10101001</v>
      </c>
      <c r="B5" s="5" t="s">
        <v>273</v>
      </c>
      <c r="C5" s="8">
        <v>4</v>
      </c>
      <c r="F5" s="9">
        <v>4</v>
      </c>
      <c r="G5" t="s">
        <v>233</v>
      </c>
    </row>
    <row r="6" spans="1:7" x14ac:dyDescent="0.3">
      <c r="A6" s="4">
        <v>10102</v>
      </c>
      <c r="B6" s="3" t="s">
        <v>54</v>
      </c>
      <c r="C6" s="8"/>
    </row>
    <row r="7" spans="1:7" x14ac:dyDescent="0.3">
      <c r="A7" s="2">
        <v>10102001</v>
      </c>
      <c r="B7" s="5" t="s">
        <v>265</v>
      </c>
      <c r="C7" s="8">
        <v>4</v>
      </c>
    </row>
    <row r="8" spans="1:7" x14ac:dyDescent="0.3">
      <c r="A8" s="4">
        <v>10103</v>
      </c>
      <c r="B8" s="3" t="s">
        <v>55</v>
      </c>
      <c r="C8" s="8"/>
    </row>
    <row r="9" spans="1:7" x14ac:dyDescent="0.3">
      <c r="A9" s="2">
        <v>10103001</v>
      </c>
      <c r="B9" s="5" t="s">
        <v>235</v>
      </c>
      <c r="C9" s="8">
        <v>4</v>
      </c>
    </row>
    <row r="10" spans="1:7" x14ac:dyDescent="0.3">
      <c r="A10" s="2">
        <v>10103002</v>
      </c>
      <c r="B10" s="5" t="s">
        <v>236</v>
      </c>
      <c r="C10" s="8">
        <v>4</v>
      </c>
    </row>
    <row r="11" spans="1:7" x14ac:dyDescent="0.3">
      <c r="A11" s="2">
        <v>10103003</v>
      </c>
      <c r="B11" s="5" t="s">
        <v>223</v>
      </c>
      <c r="C11" s="8">
        <v>4</v>
      </c>
    </row>
    <row r="12" spans="1:7" x14ac:dyDescent="0.3">
      <c r="A12" s="2">
        <v>10103004</v>
      </c>
      <c r="B12" s="5" t="s">
        <v>224</v>
      </c>
      <c r="C12" s="8">
        <v>4</v>
      </c>
    </row>
    <row r="13" spans="1:7" x14ac:dyDescent="0.3">
      <c r="A13" s="4">
        <v>10104</v>
      </c>
      <c r="B13" s="3" t="s">
        <v>55</v>
      </c>
      <c r="C13" s="8"/>
    </row>
    <row r="14" spans="1:7" x14ac:dyDescent="0.3">
      <c r="A14" s="2">
        <v>10104001</v>
      </c>
      <c r="B14" s="5" t="s">
        <v>284</v>
      </c>
      <c r="C14" s="8">
        <v>4</v>
      </c>
    </row>
    <row r="15" spans="1:7" x14ac:dyDescent="0.3">
      <c r="A15" s="2">
        <v>10104002</v>
      </c>
      <c r="B15" s="5" t="s">
        <v>285</v>
      </c>
      <c r="C15" s="8">
        <v>4</v>
      </c>
    </row>
    <row r="16" spans="1:7" x14ac:dyDescent="0.3">
      <c r="A16" s="4">
        <v>102</v>
      </c>
      <c r="B16" s="3" t="s">
        <v>2</v>
      </c>
      <c r="C16" s="8"/>
    </row>
    <row r="17" spans="1:3" x14ac:dyDescent="0.3">
      <c r="A17" s="4">
        <v>10201</v>
      </c>
      <c r="B17" s="3" t="s">
        <v>268</v>
      </c>
      <c r="C17" s="8"/>
    </row>
    <row r="18" spans="1:3" x14ac:dyDescent="0.3">
      <c r="A18" s="2">
        <v>10201001</v>
      </c>
      <c r="B18" s="5" t="s">
        <v>269</v>
      </c>
      <c r="C18" s="8">
        <v>1</v>
      </c>
    </row>
    <row r="19" spans="1:3" x14ac:dyDescent="0.3">
      <c r="A19" s="4">
        <v>10203</v>
      </c>
      <c r="B19" s="3" t="s">
        <v>3</v>
      </c>
      <c r="C19" s="8"/>
    </row>
    <row r="20" spans="1:3" x14ac:dyDescent="0.3">
      <c r="A20" s="2">
        <v>10203001</v>
      </c>
      <c r="B20" t="s">
        <v>56</v>
      </c>
      <c r="C20" s="8">
        <v>1</v>
      </c>
    </row>
    <row r="21" spans="1:3" x14ac:dyDescent="0.3">
      <c r="A21" s="2">
        <v>10203005</v>
      </c>
      <c r="B21" t="s">
        <v>237</v>
      </c>
      <c r="C21" s="8">
        <v>1</v>
      </c>
    </row>
    <row r="22" spans="1:3" x14ac:dyDescent="0.3">
      <c r="A22" s="4">
        <v>10204</v>
      </c>
      <c r="B22" s="3" t="s">
        <v>57</v>
      </c>
      <c r="C22" s="8"/>
    </row>
    <row r="23" spans="1:3" x14ac:dyDescent="0.3">
      <c r="A23" s="2">
        <v>10204001</v>
      </c>
      <c r="B23" s="5" t="s">
        <v>225</v>
      </c>
      <c r="C23" s="8">
        <v>1</v>
      </c>
    </row>
    <row r="24" spans="1:3" x14ac:dyDescent="0.3">
      <c r="A24" s="2">
        <v>10204002</v>
      </c>
      <c r="B24" s="5" t="s">
        <v>226</v>
      </c>
      <c r="C24" s="8">
        <v>1</v>
      </c>
    </row>
    <row r="25" spans="1:3" x14ac:dyDescent="0.3">
      <c r="A25" s="2">
        <v>10204003</v>
      </c>
      <c r="B25" s="5" t="s">
        <v>227</v>
      </c>
      <c r="C25" s="8">
        <v>1</v>
      </c>
    </row>
    <row r="26" spans="1:3" x14ac:dyDescent="0.3">
      <c r="A26" s="2">
        <v>10204004</v>
      </c>
      <c r="B26" s="5" t="s">
        <v>228</v>
      </c>
      <c r="C26" s="8">
        <v>1</v>
      </c>
    </row>
    <row r="27" spans="1:3" x14ac:dyDescent="0.3">
      <c r="A27" s="4">
        <v>10205</v>
      </c>
      <c r="B27" s="3" t="s">
        <v>58</v>
      </c>
      <c r="C27" s="8"/>
    </row>
    <row r="28" spans="1:3" x14ac:dyDescent="0.3">
      <c r="A28" s="2">
        <v>10205001</v>
      </c>
      <c r="B28" s="5" t="s">
        <v>59</v>
      </c>
      <c r="C28" s="8">
        <v>1</v>
      </c>
    </row>
    <row r="29" spans="1:3" x14ac:dyDescent="0.3">
      <c r="A29" s="4">
        <v>10206</v>
      </c>
      <c r="B29" s="3" t="s">
        <v>60</v>
      </c>
      <c r="C29" s="8"/>
    </row>
    <row r="30" spans="1:3" x14ac:dyDescent="0.3">
      <c r="A30" s="35">
        <v>10206001</v>
      </c>
      <c r="B30" s="36" t="s">
        <v>264</v>
      </c>
      <c r="C30" s="8">
        <v>1</v>
      </c>
    </row>
    <row r="31" spans="1:3" x14ac:dyDescent="0.3">
      <c r="A31" s="2">
        <v>10206002</v>
      </c>
      <c r="B31" s="5" t="s">
        <v>61</v>
      </c>
      <c r="C31" s="8">
        <v>1</v>
      </c>
    </row>
    <row r="32" spans="1:3" x14ac:dyDescent="0.3">
      <c r="A32" s="4">
        <v>10207</v>
      </c>
      <c r="B32" s="3" t="s">
        <v>62</v>
      </c>
      <c r="C32" s="8"/>
    </row>
    <row r="33" spans="1:3" x14ac:dyDescent="0.3">
      <c r="A33" s="2">
        <v>10207001</v>
      </c>
      <c r="B33" t="s">
        <v>63</v>
      </c>
      <c r="C33" s="8">
        <v>1</v>
      </c>
    </row>
    <row r="34" spans="1:3" x14ac:dyDescent="0.3">
      <c r="A34" s="4">
        <v>103</v>
      </c>
      <c r="B34" s="3" t="s">
        <v>4</v>
      </c>
      <c r="C34" s="8"/>
    </row>
    <row r="35" spans="1:3" x14ac:dyDescent="0.3">
      <c r="A35" s="4">
        <v>10301</v>
      </c>
      <c r="B35" s="3" t="s">
        <v>64</v>
      </c>
      <c r="C35" s="8"/>
    </row>
    <row r="36" spans="1:3" x14ac:dyDescent="0.3">
      <c r="A36" s="2">
        <v>10301001</v>
      </c>
      <c r="B36" s="5" t="s">
        <v>274</v>
      </c>
      <c r="C36" s="8">
        <v>1</v>
      </c>
    </row>
    <row r="37" spans="1:3" x14ac:dyDescent="0.3">
      <c r="A37" s="4">
        <v>104</v>
      </c>
      <c r="B37" s="3" t="s">
        <v>9</v>
      </c>
      <c r="C37" s="8"/>
    </row>
    <row r="38" spans="1:3" x14ac:dyDescent="0.3">
      <c r="A38" s="4">
        <v>10401</v>
      </c>
      <c r="B38" s="3" t="s">
        <v>65</v>
      </c>
      <c r="C38" s="8"/>
    </row>
    <row r="39" spans="1:3" x14ac:dyDescent="0.3">
      <c r="A39" s="4">
        <v>105</v>
      </c>
      <c r="B39" s="3" t="s">
        <v>66</v>
      </c>
      <c r="C39" s="8"/>
    </row>
    <row r="40" spans="1:3" x14ac:dyDescent="0.3">
      <c r="A40" s="4">
        <v>10501</v>
      </c>
      <c r="B40" s="3" t="s">
        <v>67</v>
      </c>
      <c r="C40" s="8"/>
    </row>
    <row r="41" spans="1:3" x14ac:dyDescent="0.3">
      <c r="A41" s="2">
        <v>10501001</v>
      </c>
      <c r="B41" t="s">
        <v>67</v>
      </c>
      <c r="C41" s="8">
        <v>2</v>
      </c>
    </row>
    <row r="42" spans="1:3" x14ac:dyDescent="0.3">
      <c r="A42" s="4">
        <v>10502</v>
      </c>
      <c r="B42" s="3" t="s">
        <v>68</v>
      </c>
      <c r="C42" s="8"/>
    </row>
    <row r="43" spans="1:3" x14ac:dyDescent="0.3">
      <c r="A43" s="2">
        <v>10502001</v>
      </c>
      <c r="B43" t="s">
        <v>69</v>
      </c>
      <c r="C43" s="8">
        <v>2</v>
      </c>
    </row>
    <row r="44" spans="1:3" x14ac:dyDescent="0.3">
      <c r="A44" s="2">
        <v>10502002</v>
      </c>
      <c r="B44" t="s">
        <v>70</v>
      </c>
      <c r="C44" s="8">
        <v>2</v>
      </c>
    </row>
    <row r="45" spans="1:3" x14ac:dyDescent="0.3">
      <c r="A45" s="4">
        <v>10503</v>
      </c>
      <c r="B45" s="3" t="s">
        <v>71</v>
      </c>
      <c r="C45" s="8"/>
    </row>
    <row r="46" spans="1:3" x14ac:dyDescent="0.3">
      <c r="A46" s="2">
        <v>10503001</v>
      </c>
      <c r="B46" t="s">
        <v>71</v>
      </c>
      <c r="C46" s="8">
        <v>2</v>
      </c>
    </row>
    <row r="47" spans="1:3" x14ac:dyDescent="0.3">
      <c r="A47" s="2">
        <v>10503002</v>
      </c>
      <c r="B47" t="s">
        <v>72</v>
      </c>
      <c r="C47" s="8">
        <v>2</v>
      </c>
    </row>
    <row r="48" spans="1:3" x14ac:dyDescent="0.3">
      <c r="A48" s="4">
        <v>10504</v>
      </c>
      <c r="B48" s="3" t="s">
        <v>7</v>
      </c>
      <c r="C48" s="8"/>
    </row>
    <row r="49" spans="1:3" x14ac:dyDescent="0.3">
      <c r="A49" s="2">
        <v>10504001</v>
      </c>
      <c r="B49" s="5" t="s">
        <v>7</v>
      </c>
      <c r="C49" s="8">
        <v>2</v>
      </c>
    </row>
    <row r="50" spans="1:3" x14ac:dyDescent="0.3">
      <c r="A50" s="2">
        <v>10504002</v>
      </c>
      <c r="B50" s="5" t="s">
        <v>73</v>
      </c>
      <c r="C50" s="8">
        <v>2</v>
      </c>
    </row>
    <row r="51" spans="1:3" x14ac:dyDescent="0.3">
      <c r="A51" s="4">
        <v>10505</v>
      </c>
      <c r="B51" s="3" t="s">
        <v>74</v>
      </c>
      <c r="C51" s="8"/>
    </row>
    <row r="52" spans="1:3" x14ac:dyDescent="0.3">
      <c r="A52" s="2">
        <v>10505001</v>
      </c>
      <c r="B52" s="5" t="s">
        <v>75</v>
      </c>
      <c r="C52" s="8">
        <v>2</v>
      </c>
    </row>
    <row r="53" spans="1:3" x14ac:dyDescent="0.3">
      <c r="A53" s="2">
        <v>10505002</v>
      </c>
      <c r="B53" s="5" t="s">
        <v>76</v>
      </c>
      <c r="C53" s="8">
        <v>2</v>
      </c>
    </row>
    <row r="54" spans="1:3" x14ac:dyDescent="0.3">
      <c r="A54" s="4">
        <v>10506</v>
      </c>
      <c r="B54" s="3" t="s">
        <v>77</v>
      </c>
      <c r="C54" s="8"/>
    </row>
    <row r="55" spans="1:3" x14ac:dyDescent="0.3">
      <c r="A55" s="2">
        <v>10506001</v>
      </c>
      <c r="B55" s="5" t="s">
        <v>77</v>
      </c>
      <c r="C55" s="8">
        <v>2</v>
      </c>
    </row>
    <row r="56" spans="1:3" x14ac:dyDescent="0.3">
      <c r="A56" s="2">
        <v>10506002</v>
      </c>
      <c r="B56" s="5" t="s">
        <v>78</v>
      </c>
      <c r="C56" s="8">
        <v>2</v>
      </c>
    </row>
    <row r="57" spans="1:3" x14ac:dyDescent="0.3">
      <c r="A57" s="4">
        <v>10507</v>
      </c>
      <c r="B57" s="3" t="s">
        <v>6</v>
      </c>
      <c r="C57" s="8"/>
    </row>
    <row r="58" spans="1:3" x14ac:dyDescent="0.3">
      <c r="A58" s="2">
        <v>10507001</v>
      </c>
      <c r="B58" s="5" t="s">
        <v>6</v>
      </c>
      <c r="C58" s="8">
        <v>2</v>
      </c>
    </row>
    <row r="59" spans="1:3" x14ac:dyDescent="0.3">
      <c r="A59" s="2">
        <v>10507002</v>
      </c>
      <c r="B59" s="5" t="s">
        <v>79</v>
      </c>
      <c r="C59" s="8">
        <v>2</v>
      </c>
    </row>
    <row r="60" spans="1:3" x14ac:dyDescent="0.3">
      <c r="A60" s="4">
        <v>10508</v>
      </c>
      <c r="B60" s="3" t="s">
        <v>80</v>
      </c>
      <c r="C60" s="8"/>
    </row>
    <row r="61" spans="1:3" x14ac:dyDescent="0.3">
      <c r="A61" s="2">
        <v>10507001</v>
      </c>
      <c r="B61" s="5" t="s">
        <v>5</v>
      </c>
      <c r="C61" s="8">
        <v>2</v>
      </c>
    </row>
    <row r="62" spans="1:3" x14ac:dyDescent="0.3">
      <c r="A62" s="2">
        <v>10507002</v>
      </c>
      <c r="B62" s="5" t="s">
        <v>81</v>
      </c>
      <c r="C62" s="8">
        <v>2</v>
      </c>
    </row>
    <row r="63" spans="1:3" x14ac:dyDescent="0.3">
      <c r="A63" s="4">
        <v>106</v>
      </c>
      <c r="B63" s="3" t="s">
        <v>8</v>
      </c>
      <c r="C63" s="8"/>
    </row>
    <row r="64" spans="1:3" x14ac:dyDescent="0.3">
      <c r="A64" s="4">
        <v>10601</v>
      </c>
      <c r="B64" s="3" t="s">
        <v>82</v>
      </c>
      <c r="C64" s="8"/>
    </row>
    <row r="65" spans="1:3" x14ac:dyDescent="0.3">
      <c r="A65" s="2">
        <v>10601001</v>
      </c>
      <c r="B65" t="s">
        <v>83</v>
      </c>
      <c r="C65" s="8">
        <v>2</v>
      </c>
    </row>
    <row r="66" spans="1:3" x14ac:dyDescent="0.3">
      <c r="A66" s="4">
        <v>10602</v>
      </c>
      <c r="B66" s="3" t="s">
        <v>84</v>
      </c>
      <c r="C66" s="8"/>
    </row>
    <row r="67" spans="1:3" x14ac:dyDescent="0.3">
      <c r="A67" s="2">
        <v>10602001</v>
      </c>
      <c r="B67" t="s">
        <v>85</v>
      </c>
      <c r="C67" s="8">
        <v>1</v>
      </c>
    </row>
    <row r="68" spans="1:3" x14ac:dyDescent="0.3">
      <c r="A68" s="4">
        <v>107</v>
      </c>
      <c r="B68" s="3" t="s">
        <v>86</v>
      </c>
      <c r="C68" s="8"/>
    </row>
    <row r="69" spans="1:3" x14ac:dyDescent="0.3">
      <c r="A69" s="4">
        <v>10701</v>
      </c>
      <c r="B69" s="3" t="s">
        <v>10</v>
      </c>
      <c r="C69" s="8"/>
    </row>
    <row r="70" spans="1:3" x14ac:dyDescent="0.3">
      <c r="A70" s="2">
        <v>10701001</v>
      </c>
      <c r="B70" t="s">
        <v>10</v>
      </c>
      <c r="C70" s="8">
        <v>1</v>
      </c>
    </row>
    <row r="71" spans="1:3" x14ac:dyDescent="0.3">
      <c r="A71" s="21">
        <v>2</v>
      </c>
      <c r="B71" s="22" t="s">
        <v>11</v>
      </c>
      <c r="C71" s="8"/>
    </row>
    <row r="72" spans="1:3" x14ac:dyDescent="0.3">
      <c r="A72" s="4">
        <v>201</v>
      </c>
      <c r="B72" s="3" t="s">
        <v>12</v>
      </c>
      <c r="C72" s="8"/>
    </row>
    <row r="73" spans="1:3" x14ac:dyDescent="0.3">
      <c r="A73" s="4">
        <v>20101</v>
      </c>
      <c r="B73" s="3" t="s">
        <v>87</v>
      </c>
      <c r="C73" s="8"/>
    </row>
    <row r="74" spans="1:3" x14ac:dyDescent="0.3">
      <c r="A74" s="2">
        <v>20101001</v>
      </c>
      <c r="B74" s="5" t="s">
        <v>88</v>
      </c>
      <c r="C74" s="8">
        <v>1</v>
      </c>
    </row>
    <row r="75" spans="1:3" x14ac:dyDescent="0.3">
      <c r="A75" s="2">
        <v>20101002</v>
      </c>
      <c r="B75" s="5" t="s">
        <v>89</v>
      </c>
      <c r="C75" s="8">
        <v>1</v>
      </c>
    </row>
    <row r="76" spans="1:3" x14ac:dyDescent="0.3">
      <c r="A76" s="4">
        <v>20102</v>
      </c>
      <c r="B76" s="3" t="s">
        <v>90</v>
      </c>
      <c r="C76" s="8"/>
    </row>
    <row r="77" spans="1:3" x14ac:dyDescent="0.3">
      <c r="A77" s="2">
        <v>20102001</v>
      </c>
      <c r="B77" s="5" t="s">
        <v>91</v>
      </c>
      <c r="C77" s="8">
        <v>1</v>
      </c>
    </row>
    <row r="78" spans="1:3" x14ac:dyDescent="0.3">
      <c r="A78" s="2">
        <v>20102002</v>
      </c>
      <c r="B78" s="5" t="s">
        <v>92</v>
      </c>
      <c r="C78" s="8">
        <v>1</v>
      </c>
    </row>
    <row r="79" spans="1:3" x14ac:dyDescent="0.3">
      <c r="A79" s="2">
        <v>20102003</v>
      </c>
      <c r="B79" s="5" t="s">
        <v>93</v>
      </c>
      <c r="C79" s="8">
        <v>1</v>
      </c>
    </row>
    <row r="80" spans="1:3" x14ac:dyDescent="0.3">
      <c r="A80" s="2">
        <v>20102004</v>
      </c>
      <c r="B80" s="5" t="s">
        <v>94</v>
      </c>
      <c r="C80" s="8">
        <v>1</v>
      </c>
    </row>
    <row r="81" spans="1:3" x14ac:dyDescent="0.3">
      <c r="A81" s="2">
        <v>20102005</v>
      </c>
      <c r="B81" s="5" t="s">
        <v>95</v>
      </c>
      <c r="C81" s="8">
        <v>1</v>
      </c>
    </row>
    <row r="82" spans="1:3" x14ac:dyDescent="0.3">
      <c r="A82" s="2">
        <v>20102006</v>
      </c>
      <c r="B82" s="5" t="s">
        <v>96</v>
      </c>
      <c r="C82" s="8">
        <v>1</v>
      </c>
    </row>
    <row r="83" spans="1:3" x14ac:dyDescent="0.3">
      <c r="A83" s="4">
        <v>20103</v>
      </c>
      <c r="B83" s="3" t="s">
        <v>97</v>
      </c>
      <c r="C83" s="8"/>
    </row>
    <row r="84" spans="1:3" x14ac:dyDescent="0.3">
      <c r="A84" s="2">
        <v>20103001</v>
      </c>
      <c r="B84" t="s">
        <v>13</v>
      </c>
      <c r="C84" s="8">
        <v>1</v>
      </c>
    </row>
    <row r="85" spans="1:3" x14ac:dyDescent="0.3">
      <c r="A85" s="2">
        <v>20103002</v>
      </c>
      <c r="B85" t="s">
        <v>98</v>
      </c>
      <c r="C85" s="8">
        <v>1</v>
      </c>
    </row>
    <row r="86" spans="1:3" x14ac:dyDescent="0.3">
      <c r="A86" s="4">
        <v>20104</v>
      </c>
      <c r="B86" s="3" t="s">
        <v>14</v>
      </c>
      <c r="C86" s="8"/>
    </row>
    <row r="87" spans="1:3" x14ac:dyDescent="0.3">
      <c r="A87" s="2">
        <v>20104001</v>
      </c>
      <c r="B87" s="36" t="s">
        <v>99</v>
      </c>
      <c r="C87" s="8">
        <v>1</v>
      </c>
    </row>
    <row r="88" spans="1:3" x14ac:dyDescent="0.3">
      <c r="A88" s="2">
        <v>20104002</v>
      </c>
      <c r="B88" s="5" t="s">
        <v>100</v>
      </c>
      <c r="C88" s="8">
        <v>1</v>
      </c>
    </row>
    <row r="89" spans="1:3" x14ac:dyDescent="0.3">
      <c r="A89" s="2">
        <v>20104003</v>
      </c>
      <c r="B89" s="5" t="s">
        <v>101</v>
      </c>
      <c r="C89" s="8">
        <v>1</v>
      </c>
    </row>
    <row r="90" spans="1:3" x14ac:dyDescent="0.3">
      <c r="A90" s="2">
        <v>20104004</v>
      </c>
      <c r="B90" s="36" t="s">
        <v>267</v>
      </c>
      <c r="C90" s="8">
        <v>1</v>
      </c>
    </row>
    <row r="91" spans="1:3" x14ac:dyDescent="0.3">
      <c r="A91" s="2">
        <v>20104005</v>
      </c>
      <c r="B91" t="s">
        <v>102</v>
      </c>
      <c r="C91" s="8">
        <v>1</v>
      </c>
    </row>
    <row r="92" spans="1:3" x14ac:dyDescent="0.3">
      <c r="A92" s="2">
        <v>20104006</v>
      </c>
      <c r="B92" t="s">
        <v>103</v>
      </c>
      <c r="C92" s="8">
        <v>1</v>
      </c>
    </row>
    <row r="93" spans="1:3" x14ac:dyDescent="0.3">
      <c r="A93" s="2">
        <v>20104007</v>
      </c>
      <c r="B93" t="s">
        <v>104</v>
      </c>
      <c r="C93" s="8">
        <v>1</v>
      </c>
    </row>
    <row r="94" spans="1:3" x14ac:dyDescent="0.3">
      <c r="A94" s="4">
        <v>20105</v>
      </c>
      <c r="B94" s="6" t="s">
        <v>105</v>
      </c>
      <c r="C94" s="8"/>
    </row>
    <row r="95" spans="1:3" x14ac:dyDescent="0.3">
      <c r="A95" s="2">
        <v>20105001</v>
      </c>
      <c r="B95" s="39" t="s">
        <v>292</v>
      </c>
      <c r="C95" s="8">
        <v>1</v>
      </c>
    </row>
    <row r="96" spans="1:3" x14ac:dyDescent="0.3">
      <c r="A96" s="2">
        <v>20105002</v>
      </c>
      <c r="B96" s="5" t="s">
        <v>286</v>
      </c>
      <c r="C96" s="8">
        <v>1</v>
      </c>
    </row>
    <row r="97" spans="1:3" x14ac:dyDescent="0.3">
      <c r="A97" s="2">
        <v>20105003</v>
      </c>
      <c r="B97" s="39" t="s">
        <v>287</v>
      </c>
      <c r="C97" s="8">
        <v>1</v>
      </c>
    </row>
    <row r="98" spans="1:3" x14ac:dyDescent="0.3">
      <c r="A98" s="2">
        <v>20105004</v>
      </c>
      <c r="B98" s="5" t="s">
        <v>288</v>
      </c>
      <c r="C98" s="8">
        <v>1</v>
      </c>
    </row>
    <row r="99" spans="1:3" x14ac:dyDescent="0.3">
      <c r="A99" s="4">
        <v>20106</v>
      </c>
      <c r="B99" s="3" t="s">
        <v>106</v>
      </c>
      <c r="C99" s="8"/>
    </row>
    <row r="100" spans="1:3" x14ac:dyDescent="0.3">
      <c r="A100" s="2">
        <v>20106001</v>
      </c>
      <c r="B100" s="5" t="s">
        <v>107</v>
      </c>
      <c r="C100" s="8">
        <v>1</v>
      </c>
    </row>
    <row r="101" spans="1:3" x14ac:dyDescent="0.3">
      <c r="A101" s="2">
        <v>20106002</v>
      </c>
      <c r="B101" s="39" t="s">
        <v>108</v>
      </c>
      <c r="C101" s="8">
        <v>1</v>
      </c>
    </row>
    <row r="102" spans="1:3" x14ac:dyDescent="0.3">
      <c r="A102" s="2">
        <v>20106003</v>
      </c>
      <c r="B102" s="39" t="s">
        <v>293</v>
      </c>
      <c r="C102" s="8">
        <v>1</v>
      </c>
    </row>
    <row r="103" spans="1:3" x14ac:dyDescent="0.3">
      <c r="A103" s="2">
        <v>20106004</v>
      </c>
      <c r="B103" s="5" t="s">
        <v>109</v>
      </c>
      <c r="C103" s="8">
        <v>1</v>
      </c>
    </row>
    <row r="104" spans="1:3" x14ac:dyDescent="0.3">
      <c r="A104" s="2">
        <v>20106005</v>
      </c>
      <c r="B104" s="5" t="s">
        <v>110</v>
      </c>
      <c r="C104" s="8">
        <v>1</v>
      </c>
    </row>
    <row r="105" spans="1:3" x14ac:dyDescent="0.3">
      <c r="A105" s="2">
        <v>20106006</v>
      </c>
      <c r="B105" s="5" t="s">
        <v>111</v>
      </c>
      <c r="C105" s="8">
        <v>1</v>
      </c>
    </row>
    <row r="106" spans="1:3" x14ac:dyDescent="0.3">
      <c r="A106" s="2">
        <v>20106007</v>
      </c>
      <c r="B106" s="5" t="s">
        <v>112</v>
      </c>
      <c r="C106" s="8">
        <v>1</v>
      </c>
    </row>
    <row r="107" spans="1:3" x14ac:dyDescent="0.3">
      <c r="A107" s="4">
        <v>202</v>
      </c>
      <c r="B107" s="3" t="s">
        <v>113</v>
      </c>
      <c r="C107" s="8"/>
    </row>
    <row r="108" spans="1:3" x14ac:dyDescent="0.3">
      <c r="A108" s="4">
        <v>20201</v>
      </c>
      <c r="B108" s="3" t="s">
        <v>114</v>
      </c>
      <c r="C108" s="8"/>
    </row>
    <row r="109" spans="1:3" x14ac:dyDescent="0.3">
      <c r="A109" s="4">
        <v>2020101</v>
      </c>
      <c r="B109" s="3" t="s">
        <v>115</v>
      </c>
      <c r="C109" s="8"/>
    </row>
    <row r="110" spans="1:3" x14ac:dyDescent="0.3">
      <c r="A110" s="2">
        <v>20201001</v>
      </c>
      <c r="B110" s="38" t="s">
        <v>115</v>
      </c>
      <c r="C110" s="8">
        <v>1</v>
      </c>
    </row>
    <row r="111" spans="1:3" hidden="1" x14ac:dyDescent="0.3">
      <c r="A111" s="4">
        <v>2020201</v>
      </c>
      <c r="B111" s="3" t="s">
        <v>116</v>
      </c>
      <c r="C111" s="8"/>
    </row>
    <row r="112" spans="1:3" hidden="1" x14ac:dyDescent="0.3">
      <c r="A112" s="2">
        <v>20202001</v>
      </c>
      <c r="B112" t="s">
        <v>116</v>
      </c>
      <c r="C112" s="8">
        <v>1</v>
      </c>
    </row>
    <row r="113" spans="1:3" x14ac:dyDescent="0.3">
      <c r="A113" s="4">
        <v>2020301</v>
      </c>
      <c r="B113" s="3" t="s">
        <v>117</v>
      </c>
      <c r="C113" s="8"/>
    </row>
    <row r="114" spans="1:3" x14ac:dyDescent="0.3">
      <c r="A114" s="2">
        <v>20203001</v>
      </c>
      <c r="B114" s="7" t="s">
        <v>229</v>
      </c>
      <c r="C114" s="8">
        <v>3</v>
      </c>
    </row>
    <row r="115" spans="1:3" x14ac:dyDescent="0.3">
      <c r="A115" s="2">
        <v>20203002</v>
      </c>
      <c r="B115" s="7" t="s">
        <v>230</v>
      </c>
      <c r="C115" s="8">
        <v>3</v>
      </c>
    </row>
    <row r="116" spans="1:3" x14ac:dyDescent="0.3">
      <c r="A116" s="21">
        <v>3</v>
      </c>
      <c r="B116" s="22" t="s">
        <v>118</v>
      </c>
      <c r="C116" s="8"/>
    </row>
    <row r="117" spans="1:3" x14ac:dyDescent="0.3">
      <c r="A117" s="4">
        <v>301</v>
      </c>
      <c r="B117" s="3" t="s">
        <v>15</v>
      </c>
      <c r="C117" s="8"/>
    </row>
    <row r="118" spans="1:3" x14ac:dyDescent="0.3">
      <c r="A118" s="4">
        <v>30101</v>
      </c>
      <c r="B118" s="3" t="s">
        <v>16</v>
      </c>
      <c r="C118" s="8"/>
    </row>
    <row r="119" spans="1:3" x14ac:dyDescent="0.3">
      <c r="A119" s="2">
        <v>30101001</v>
      </c>
      <c r="B119" t="s">
        <v>15</v>
      </c>
      <c r="C119" s="8">
        <v>3</v>
      </c>
    </row>
    <row r="120" spans="1:3" x14ac:dyDescent="0.3">
      <c r="A120" s="4">
        <v>302</v>
      </c>
      <c r="B120" s="3" t="s">
        <v>119</v>
      </c>
      <c r="C120" s="8"/>
    </row>
    <row r="121" spans="1:3" x14ac:dyDescent="0.3">
      <c r="A121" s="4">
        <v>30201</v>
      </c>
      <c r="B121" s="3" t="s">
        <v>119</v>
      </c>
      <c r="C121" s="8"/>
    </row>
    <row r="122" spans="1:3" x14ac:dyDescent="0.3">
      <c r="A122" s="2">
        <v>30201001</v>
      </c>
      <c r="B122" t="s">
        <v>18</v>
      </c>
      <c r="C122" s="8">
        <v>3</v>
      </c>
    </row>
    <row r="123" spans="1:3" x14ac:dyDescent="0.3">
      <c r="A123" s="2">
        <v>30201002</v>
      </c>
      <c r="B123" t="s">
        <v>120</v>
      </c>
      <c r="C123" s="8">
        <v>3</v>
      </c>
    </row>
    <row r="124" spans="1:3" x14ac:dyDescent="0.3">
      <c r="A124" s="4">
        <v>303</v>
      </c>
      <c r="B124" s="3" t="s">
        <v>17</v>
      </c>
      <c r="C124" s="8"/>
    </row>
    <row r="125" spans="1:3" x14ac:dyDescent="0.3">
      <c r="A125" s="4">
        <v>30301</v>
      </c>
      <c r="B125" s="3" t="s">
        <v>17</v>
      </c>
      <c r="C125" s="8"/>
    </row>
    <row r="126" spans="1:3" x14ac:dyDescent="0.3">
      <c r="A126" s="2">
        <v>30301001</v>
      </c>
      <c r="B126" t="s">
        <v>121</v>
      </c>
      <c r="C126" s="8">
        <v>3</v>
      </c>
    </row>
    <row r="127" spans="1:3" x14ac:dyDescent="0.3">
      <c r="A127" s="4">
        <v>304</v>
      </c>
      <c r="B127" s="3" t="s">
        <v>122</v>
      </c>
      <c r="C127" s="8"/>
    </row>
    <row r="128" spans="1:3" x14ac:dyDescent="0.3">
      <c r="A128" s="4">
        <v>30401</v>
      </c>
      <c r="B128" s="3" t="s">
        <v>122</v>
      </c>
      <c r="C128" s="8"/>
    </row>
    <row r="129" spans="1:3" x14ac:dyDescent="0.3">
      <c r="A129" s="2">
        <v>30401001</v>
      </c>
      <c r="B129" t="s">
        <v>123</v>
      </c>
      <c r="C129" s="8">
        <v>3</v>
      </c>
    </row>
    <row r="130" spans="1:3" x14ac:dyDescent="0.3">
      <c r="A130" s="2">
        <v>30401002</v>
      </c>
      <c r="B130" t="s">
        <v>124</v>
      </c>
      <c r="C130" s="8">
        <v>3</v>
      </c>
    </row>
    <row r="131" spans="1:3" x14ac:dyDescent="0.3">
      <c r="A131" s="21">
        <v>4</v>
      </c>
      <c r="B131" s="22" t="s">
        <v>19</v>
      </c>
      <c r="C131" s="8"/>
    </row>
    <row r="132" spans="1:3" x14ac:dyDescent="0.3">
      <c r="A132" s="4">
        <v>401</v>
      </c>
      <c r="B132" s="3" t="s">
        <v>20</v>
      </c>
      <c r="C132" s="8"/>
    </row>
    <row r="133" spans="1:3" x14ac:dyDescent="0.3">
      <c r="A133" s="4">
        <v>40101</v>
      </c>
      <c r="B133" s="3" t="s">
        <v>125</v>
      </c>
      <c r="C133" s="8"/>
    </row>
    <row r="134" spans="1:3" x14ac:dyDescent="0.3">
      <c r="A134" s="35">
        <v>40101001</v>
      </c>
      <c r="B134" s="8" t="s">
        <v>266</v>
      </c>
      <c r="C134" s="8"/>
    </row>
    <row r="135" spans="1:3" x14ac:dyDescent="0.3">
      <c r="A135" s="2">
        <v>40101003</v>
      </c>
      <c r="B135" t="s">
        <v>126</v>
      </c>
      <c r="C135" s="8"/>
    </row>
    <row r="136" spans="1:3" x14ac:dyDescent="0.3">
      <c r="A136" s="2">
        <v>40101004</v>
      </c>
      <c r="B136" t="s">
        <v>127</v>
      </c>
      <c r="C136" s="8"/>
    </row>
    <row r="137" spans="1:3" x14ac:dyDescent="0.3">
      <c r="A137" s="2">
        <v>40101005</v>
      </c>
      <c r="B137" t="s">
        <v>128</v>
      </c>
      <c r="C137" s="8"/>
    </row>
    <row r="138" spans="1:3" x14ac:dyDescent="0.3">
      <c r="A138" s="4">
        <v>402</v>
      </c>
      <c r="B138" s="3" t="s">
        <v>21</v>
      </c>
      <c r="C138" s="8"/>
    </row>
    <row r="139" spans="1:3" x14ac:dyDescent="0.3">
      <c r="A139" s="4">
        <v>40201</v>
      </c>
      <c r="B139" s="3" t="s">
        <v>22</v>
      </c>
      <c r="C139" s="8"/>
    </row>
    <row r="140" spans="1:3" x14ac:dyDescent="0.3">
      <c r="A140" s="2">
        <v>40201001</v>
      </c>
      <c r="B140" t="s">
        <v>23</v>
      </c>
      <c r="C140" s="8"/>
    </row>
    <row r="141" spans="1:3" x14ac:dyDescent="0.3">
      <c r="A141" s="2">
        <v>40201002</v>
      </c>
      <c r="B141" t="s">
        <v>129</v>
      </c>
      <c r="C141" s="8"/>
    </row>
    <row r="142" spans="1:3" x14ac:dyDescent="0.3">
      <c r="A142" s="2">
        <v>40201003</v>
      </c>
      <c r="B142" t="s">
        <v>24</v>
      </c>
      <c r="C142" s="8"/>
    </row>
    <row r="143" spans="1:3" x14ac:dyDescent="0.3">
      <c r="A143" s="2">
        <v>40201004</v>
      </c>
      <c r="B143" t="s">
        <v>130</v>
      </c>
      <c r="C143" s="8"/>
    </row>
    <row r="144" spans="1:3" x14ac:dyDescent="0.3">
      <c r="A144" s="2">
        <v>40201005</v>
      </c>
      <c r="B144" t="s">
        <v>131</v>
      </c>
      <c r="C144" s="8"/>
    </row>
    <row r="145" spans="1:3" x14ac:dyDescent="0.3">
      <c r="A145" s="4">
        <v>40202</v>
      </c>
      <c r="B145" s="3" t="s">
        <v>132</v>
      </c>
      <c r="C145" s="8"/>
    </row>
    <row r="146" spans="1:3" x14ac:dyDescent="0.3">
      <c r="A146" s="2">
        <v>40202001</v>
      </c>
      <c r="B146" t="s">
        <v>133</v>
      </c>
      <c r="C146" s="8"/>
    </row>
    <row r="147" spans="1:3" x14ac:dyDescent="0.3">
      <c r="A147" s="2">
        <v>40202002</v>
      </c>
      <c r="B147" t="s">
        <v>134</v>
      </c>
      <c r="C147" s="8"/>
    </row>
    <row r="148" spans="1:3" x14ac:dyDescent="0.3">
      <c r="A148" s="2">
        <v>40202003</v>
      </c>
      <c r="B148" t="s">
        <v>135</v>
      </c>
      <c r="C148" s="8"/>
    </row>
    <row r="149" spans="1:3" x14ac:dyDescent="0.3">
      <c r="A149" s="2">
        <v>40202004</v>
      </c>
      <c r="B149" t="s">
        <v>136</v>
      </c>
      <c r="C149" s="8"/>
    </row>
    <row r="150" spans="1:3" x14ac:dyDescent="0.3">
      <c r="A150" s="21">
        <v>5</v>
      </c>
      <c r="B150" s="22" t="s">
        <v>137</v>
      </c>
      <c r="C150" s="8"/>
    </row>
    <row r="151" spans="1:3" x14ac:dyDescent="0.3">
      <c r="A151" s="4">
        <v>501</v>
      </c>
      <c r="B151" s="3" t="s">
        <v>137</v>
      </c>
      <c r="C151" s="8"/>
    </row>
    <row r="152" spans="1:3" x14ac:dyDescent="0.3">
      <c r="A152" s="4">
        <v>50101</v>
      </c>
      <c r="B152" s="3" t="s">
        <v>138</v>
      </c>
      <c r="C152" s="8"/>
    </row>
    <row r="153" spans="1:3" x14ac:dyDescent="0.3">
      <c r="A153" s="2">
        <v>50101001</v>
      </c>
      <c r="B153" t="s">
        <v>139</v>
      </c>
      <c r="C153" s="8"/>
    </row>
    <row r="154" spans="1:3" x14ac:dyDescent="0.3">
      <c r="A154" s="2">
        <v>50101002</v>
      </c>
      <c r="B154" t="s">
        <v>140</v>
      </c>
      <c r="C154" s="8"/>
    </row>
    <row r="155" spans="1:3" x14ac:dyDescent="0.3">
      <c r="A155" s="2">
        <v>50101003</v>
      </c>
      <c r="B155" t="s">
        <v>141</v>
      </c>
      <c r="C155" s="8"/>
    </row>
    <row r="156" spans="1:3" x14ac:dyDescent="0.3">
      <c r="A156" s="2">
        <v>50101004</v>
      </c>
      <c r="B156" t="s">
        <v>142</v>
      </c>
      <c r="C156" s="8"/>
    </row>
    <row r="157" spans="1:3" x14ac:dyDescent="0.3">
      <c r="A157" s="21">
        <v>6</v>
      </c>
      <c r="B157" s="22" t="s">
        <v>143</v>
      </c>
      <c r="C157" s="8"/>
    </row>
    <row r="158" spans="1:3" x14ac:dyDescent="0.3">
      <c r="A158" s="4">
        <v>601</v>
      </c>
      <c r="B158" s="3" t="s">
        <v>144</v>
      </c>
      <c r="C158" s="8"/>
    </row>
    <row r="159" spans="1:3" x14ac:dyDescent="0.3">
      <c r="A159" s="4">
        <v>60101</v>
      </c>
      <c r="B159" s="3" t="s">
        <v>145</v>
      </c>
      <c r="C159" s="8"/>
    </row>
    <row r="160" spans="1:3" x14ac:dyDescent="0.3">
      <c r="A160" s="2">
        <v>60101001</v>
      </c>
      <c r="B160" s="37" t="s">
        <v>146</v>
      </c>
      <c r="C160" s="8"/>
    </row>
    <row r="161" spans="1:3" x14ac:dyDescent="0.3">
      <c r="A161" s="4">
        <v>60102</v>
      </c>
      <c r="B161" s="3" t="s">
        <v>147</v>
      </c>
      <c r="C161" s="8"/>
    </row>
    <row r="162" spans="1:3" x14ac:dyDescent="0.3">
      <c r="A162" s="2">
        <v>60102001</v>
      </c>
      <c r="B162" t="s">
        <v>26</v>
      </c>
      <c r="C162" s="8"/>
    </row>
    <row r="163" spans="1:3" x14ac:dyDescent="0.3">
      <c r="A163" s="2">
        <v>60102002</v>
      </c>
      <c r="B163" t="s">
        <v>27</v>
      </c>
      <c r="C163" s="8"/>
    </row>
    <row r="164" spans="1:3" x14ac:dyDescent="0.3">
      <c r="A164" s="2">
        <v>60102003</v>
      </c>
      <c r="B164" t="s">
        <v>148</v>
      </c>
      <c r="C164" s="8"/>
    </row>
    <row r="165" spans="1:3" x14ac:dyDescent="0.3">
      <c r="A165" s="2">
        <v>60102004</v>
      </c>
      <c r="B165" t="s">
        <v>149</v>
      </c>
      <c r="C165" s="8"/>
    </row>
    <row r="166" spans="1:3" x14ac:dyDescent="0.3">
      <c r="A166" s="2">
        <v>60102005</v>
      </c>
      <c r="B166" s="38" t="s">
        <v>41</v>
      </c>
      <c r="C166" s="8"/>
    </row>
    <row r="167" spans="1:3" x14ac:dyDescent="0.3">
      <c r="A167" s="2">
        <v>60102006</v>
      </c>
      <c r="B167" s="38" t="s">
        <v>150</v>
      </c>
      <c r="C167" s="8"/>
    </row>
    <row r="168" spans="1:3" x14ac:dyDescent="0.3">
      <c r="A168" s="2">
        <v>60102007</v>
      </c>
      <c r="B168" s="38" t="s">
        <v>291</v>
      </c>
      <c r="C168" s="8"/>
    </row>
    <row r="169" spans="1:3" x14ac:dyDescent="0.3">
      <c r="A169" s="2">
        <v>60102008</v>
      </c>
      <c r="B169" t="s">
        <v>25</v>
      </c>
      <c r="C169" s="8"/>
    </row>
    <row r="170" spans="1:3" x14ac:dyDescent="0.3">
      <c r="A170" s="2">
        <v>60102009</v>
      </c>
      <c r="B170" s="38" t="s">
        <v>290</v>
      </c>
      <c r="C170" s="8"/>
    </row>
    <row r="171" spans="1:3" x14ac:dyDescent="0.3">
      <c r="A171" s="2">
        <v>60102010</v>
      </c>
      <c r="B171" t="s">
        <v>151</v>
      </c>
      <c r="C171" s="8"/>
    </row>
    <row r="172" spans="1:3" x14ac:dyDescent="0.3">
      <c r="A172" s="2">
        <v>60102011</v>
      </c>
      <c r="B172" t="s">
        <v>152</v>
      </c>
      <c r="C172" s="8"/>
    </row>
    <row r="173" spans="1:3" x14ac:dyDescent="0.3">
      <c r="A173" s="2">
        <v>60102012</v>
      </c>
      <c r="B173" t="s">
        <v>153</v>
      </c>
      <c r="C173" s="8"/>
    </row>
    <row r="174" spans="1:3" x14ac:dyDescent="0.3">
      <c r="A174" s="2">
        <v>60102013</v>
      </c>
      <c r="B174" t="s">
        <v>154</v>
      </c>
      <c r="C174" s="8"/>
    </row>
    <row r="175" spans="1:3" x14ac:dyDescent="0.3">
      <c r="A175" s="4">
        <v>60103</v>
      </c>
      <c r="B175" s="3" t="s">
        <v>155</v>
      </c>
      <c r="C175" s="8"/>
    </row>
    <row r="176" spans="1:3" x14ac:dyDescent="0.3">
      <c r="A176" s="2">
        <v>60103001</v>
      </c>
      <c r="B176" s="38" t="s">
        <v>289</v>
      </c>
      <c r="C176" s="8"/>
    </row>
    <row r="177" spans="1:3" x14ac:dyDescent="0.3">
      <c r="A177" s="2">
        <v>60103002</v>
      </c>
      <c r="B177" t="s">
        <v>156</v>
      </c>
      <c r="C177" s="8"/>
    </row>
    <row r="178" spans="1:3" x14ac:dyDescent="0.3">
      <c r="A178" s="2">
        <v>60103003</v>
      </c>
      <c r="B178" t="s">
        <v>157</v>
      </c>
      <c r="C178" s="8"/>
    </row>
    <row r="179" spans="1:3" x14ac:dyDescent="0.3">
      <c r="A179" s="2">
        <v>60103004</v>
      </c>
      <c r="B179" t="s">
        <v>158</v>
      </c>
      <c r="C179" s="8"/>
    </row>
    <row r="180" spans="1:3" x14ac:dyDescent="0.3">
      <c r="A180" s="2">
        <v>60103005</v>
      </c>
      <c r="B180" t="s">
        <v>159</v>
      </c>
      <c r="C180" s="8"/>
    </row>
    <row r="181" spans="1:3" x14ac:dyDescent="0.3">
      <c r="A181" s="4">
        <v>60104</v>
      </c>
      <c r="B181" s="3" t="s">
        <v>160</v>
      </c>
      <c r="C181" s="8"/>
    </row>
    <row r="182" spans="1:3" x14ac:dyDescent="0.3">
      <c r="A182" s="35">
        <v>60104001</v>
      </c>
      <c r="B182" s="8" t="s">
        <v>28</v>
      </c>
      <c r="C182" s="8"/>
    </row>
    <row r="183" spans="1:3" x14ac:dyDescent="0.3">
      <c r="A183" s="2">
        <v>60104002</v>
      </c>
      <c r="B183" t="s">
        <v>42</v>
      </c>
      <c r="C183" s="8"/>
    </row>
    <row r="184" spans="1:3" x14ac:dyDescent="0.3">
      <c r="A184" s="2">
        <v>60104003</v>
      </c>
      <c r="B184" t="s">
        <v>161</v>
      </c>
      <c r="C184" s="8"/>
    </row>
    <row r="185" spans="1:3" x14ac:dyDescent="0.3">
      <c r="A185" s="2">
        <v>60104004</v>
      </c>
      <c r="B185" t="s">
        <v>162</v>
      </c>
      <c r="C185" s="8"/>
    </row>
    <row r="186" spans="1:3" x14ac:dyDescent="0.3">
      <c r="A186" s="2">
        <v>60104005</v>
      </c>
      <c r="B186" t="s">
        <v>33</v>
      </c>
      <c r="C186" s="8"/>
    </row>
    <row r="187" spans="1:3" x14ac:dyDescent="0.3">
      <c r="A187" s="2">
        <v>60104006</v>
      </c>
      <c r="B187" t="s">
        <v>163</v>
      </c>
      <c r="C187" s="8"/>
    </row>
    <row r="188" spans="1:3" x14ac:dyDescent="0.3">
      <c r="A188" s="4">
        <v>60105</v>
      </c>
      <c r="B188" s="3" t="s">
        <v>90</v>
      </c>
      <c r="C188" s="8"/>
    </row>
    <row r="189" spans="1:3" x14ac:dyDescent="0.3">
      <c r="A189" s="2">
        <v>60105001</v>
      </c>
      <c r="B189" t="s">
        <v>164</v>
      </c>
      <c r="C189" s="8"/>
    </row>
    <row r="190" spans="1:3" x14ac:dyDescent="0.3">
      <c r="A190" s="2">
        <v>60105002</v>
      </c>
      <c r="B190" t="s">
        <v>165</v>
      </c>
      <c r="C190" s="8"/>
    </row>
    <row r="191" spans="1:3" x14ac:dyDescent="0.3">
      <c r="A191" s="2">
        <v>60105003</v>
      </c>
      <c r="B191" t="s">
        <v>166</v>
      </c>
      <c r="C191" s="8"/>
    </row>
    <row r="192" spans="1:3" x14ac:dyDescent="0.3">
      <c r="A192" s="2">
        <v>60105004</v>
      </c>
      <c r="B192" t="s">
        <v>167</v>
      </c>
      <c r="C192" s="8"/>
    </row>
    <row r="193" spans="1:3" x14ac:dyDescent="0.3">
      <c r="A193" s="2">
        <v>60105005</v>
      </c>
      <c r="B193" t="s">
        <v>168</v>
      </c>
      <c r="C193" s="8"/>
    </row>
    <row r="194" spans="1:3" x14ac:dyDescent="0.3">
      <c r="A194" s="4">
        <v>60106</v>
      </c>
      <c r="B194" s="3" t="s">
        <v>169</v>
      </c>
      <c r="C194" s="8"/>
    </row>
    <row r="195" spans="1:3" x14ac:dyDescent="0.3">
      <c r="A195" s="35">
        <v>60106001</v>
      </c>
      <c r="B195" s="8" t="s">
        <v>170</v>
      </c>
      <c r="C195" s="8"/>
    </row>
    <row r="196" spans="1:3" x14ac:dyDescent="0.3">
      <c r="A196" s="35">
        <v>60106002</v>
      </c>
      <c r="B196" s="8" t="s">
        <v>171</v>
      </c>
      <c r="C196" s="8"/>
    </row>
    <row r="197" spans="1:3" x14ac:dyDescent="0.3">
      <c r="A197" s="2">
        <v>60106003</v>
      </c>
      <c r="B197" t="s">
        <v>172</v>
      </c>
      <c r="C197" s="8"/>
    </row>
    <row r="198" spans="1:3" x14ac:dyDescent="0.3">
      <c r="A198" s="4">
        <v>60107</v>
      </c>
      <c r="B198" s="3" t="s">
        <v>39</v>
      </c>
      <c r="C198" s="8"/>
    </row>
    <row r="199" spans="1:3" x14ac:dyDescent="0.3">
      <c r="A199" s="35">
        <v>60107001</v>
      </c>
      <c r="B199" s="8" t="s">
        <v>173</v>
      </c>
      <c r="C199" s="8"/>
    </row>
    <row r="200" spans="1:3" x14ac:dyDescent="0.3">
      <c r="A200" s="2">
        <v>60107002</v>
      </c>
      <c r="B200" t="s">
        <v>174</v>
      </c>
      <c r="C200" s="8"/>
    </row>
    <row r="201" spans="1:3" x14ac:dyDescent="0.3">
      <c r="A201" s="2">
        <v>60107003</v>
      </c>
      <c r="B201" t="s">
        <v>31</v>
      </c>
      <c r="C201" s="8"/>
    </row>
    <row r="202" spans="1:3" x14ac:dyDescent="0.3">
      <c r="A202" s="2">
        <v>60107004</v>
      </c>
      <c r="B202" t="s">
        <v>175</v>
      </c>
      <c r="C202" s="8"/>
    </row>
    <row r="203" spans="1:3" x14ac:dyDescent="0.3">
      <c r="A203" s="2">
        <v>60107005</v>
      </c>
      <c r="B203" t="s">
        <v>176</v>
      </c>
      <c r="C203" s="8"/>
    </row>
    <row r="204" spans="1:3" x14ac:dyDescent="0.3">
      <c r="A204" s="2">
        <v>60107006</v>
      </c>
      <c r="B204" t="s">
        <v>177</v>
      </c>
      <c r="C204" s="8"/>
    </row>
    <row r="205" spans="1:3" x14ac:dyDescent="0.3">
      <c r="A205" s="2">
        <v>60107007</v>
      </c>
      <c r="B205" t="s">
        <v>178</v>
      </c>
      <c r="C205" s="8"/>
    </row>
    <row r="206" spans="1:3" x14ac:dyDescent="0.3">
      <c r="A206" s="2">
        <v>60107008</v>
      </c>
      <c r="B206" t="s">
        <v>179</v>
      </c>
      <c r="C206" s="8"/>
    </row>
    <row r="207" spans="1:3" x14ac:dyDescent="0.3">
      <c r="A207" s="2">
        <v>60107009</v>
      </c>
      <c r="B207" t="s">
        <v>180</v>
      </c>
      <c r="C207" s="8"/>
    </row>
    <row r="208" spans="1:3" x14ac:dyDescent="0.3">
      <c r="A208" s="4">
        <v>60108</v>
      </c>
      <c r="B208" s="3" t="s">
        <v>181</v>
      </c>
      <c r="C208" s="8"/>
    </row>
    <row r="209" spans="1:3" x14ac:dyDescent="0.3">
      <c r="A209" s="2">
        <v>60108001</v>
      </c>
      <c r="B209" t="s">
        <v>182</v>
      </c>
      <c r="C209" s="8"/>
    </row>
    <row r="210" spans="1:3" x14ac:dyDescent="0.3">
      <c r="A210" s="2">
        <v>60108002</v>
      </c>
      <c r="B210" t="s">
        <v>183</v>
      </c>
      <c r="C210" s="8"/>
    </row>
    <row r="211" spans="1:3" x14ac:dyDescent="0.3">
      <c r="A211" s="2">
        <v>60108003</v>
      </c>
      <c r="B211" t="s">
        <v>30</v>
      </c>
      <c r="C211" s="8"/>
    </row>
    <row r="212" spans="1:3" x14ac:dyDescent="0.3">
      <c r="A212" s="2">
        <v>60108004</v>
      </c>
      <c r="B212" t="s">
        <v>184</v>
      </c>
      <c r="C212" s="8"/>
    </row>
    <row r="213" spans="1:3" x14ac:dyDescent="0.3">
      <c r="A213" s="2">
        <v>60108005</v>
      </c>
      <c r="B213" t="s">
        <v>185</v>
      </c>
      <c r="C213" s="8"/>
    </row>
    <row r="214" spans="1:3" x14ac:dyDescent="0.3">
      <c r="A214" s="2">
        <v>60108006</v>
      </c>
      <c r="B214" t="s">
        <v>186</v>
      </c>
      <c r="C214" s="8"/>
    </row>
    <row r="215" spans="1:3" x14ac:dyDescent="0.3">
      <c r="A215" s="4">
        <v>60109</v>
      </c>
      <c r="B215" s="3" t="s">
        <v>32</v>
      </c>
      <c r="C215" s="8"/>
    </row>
    <row r="216" spans="1:3" x14ac:dyDescent="0.3">
      <c r="A216" s="2">
        <v>60109001</v>
      </c>
      <c r="B216" t="s">
        <v>29</v>
      </c>
      <c r="C216" s="8"/>
    </row>
    <row r="217" spans="1:3" x14ac:dyDescent="0.3">
      <c r="A217" s="35">
        <v>60109002</v>
      </c>
      <c r="B217" s="8" t="s">
        <v>187</v>
      </c>
      <c r="C217" s="8"/>
    </row>
    <row r="218" spans="1:3" x14ac:dyDescent="0.3">
      <c r="A218" s="2">
        <v>60109003</v>
      </c>
      <c r="B218" t="s">
        <v>188</v>
      </c>
      <c r="C218" s="8"/>
    </row>
    <row r="219" spans="1:3" x14ac:dyDescent="0.3">
      <c r="A219" s="2">
        <v>60109004</v>
      </c>
      <c r="B219" t="s">
        <v>189</v>
      </c>
      <c r="C219" s="8"/>
    </row>
    <row r="220" spans="1:3" x14ac:dyDescent="0.3">
      <c r="A220" s="2">
        <v>60109005</v>
      </c>
      <c r="B220" t="s">
        <v>190</v>
      </c>
      <c r="C220" s="8"/>
    </row>
    <row r="221" spans="1:3" x14ac:dyDescent="0.3">
      <c r="A221" s="2">
        <v>60109006</v>
      </c>
      <c r="B221" t="s">
        <v>191</v>
      </c>
      <c r="C221" s="8"/>
    </row>
    <row r="222" spans="1:3" x14ac:dyDescent="0.3">
      <c r="A222" s="2">
        <v>60109007</v>
      </c>
      <c r="B222" t="s">
        <v>192</v>
      </c>
      <c r="C222" s="8"/>
    </row>
    <row r="223" spans="1:3" x14ac:dyDescent="0.3">
      <c r="A223" s="2">
        <v>60109008</v>
      </c>
      <c r="B223" t="s">
        <v>193</v>
      </c>
      <c r="C223" s="8"/>
    </row>
    <row r="224" spans="1:3" x14ac:dyDescent="0.3">
      <c r="A224" s="4">
        <v>60110</v>
      </c>
      <c r="B224" s="3" t="s">
        <v>194</v>
      </c>
      <c r="C224" s="8"/>
    </row>
    <row r="225" spans="1:3" x14ac:dyDescent="0.3">
      <c r="A225" s="2">
        <v>60110001</v>
      </c>
      <c r="B225" t="s">
        <v>195</v>
      </c>
      <c r="C225" s="8"/>
    </row>
    <row r="226" spans="1:3" x14ac:dyDescent="0.3">
      <c r="A226" s="2">
        <v>60110002</v>
      </c>
      <c r="B226" t="s">
        <v>34</v>
      </c>
      <c r="C226" s="8"/>
    </row>
    <row r="227" spans="1:3" x14ac:dyDescent="0.3">
      <c r="A227" s="2">
        <v>60110003</v>
      </c>
      <c r="B227" t="s">
        <v>38</v>
      </c>
      <c r="C227" s="8"/>
    </row>
    <row r="228" spans="1:3" x14ac:dyDescent="0.3">
      <c r="A228" s="2">
        <v>60110004</v>
      </c>
      <c r="B228" t="s">
        <v>37</v>
      </c>
      <c r="C228" s="8"/>
    </row>
    <row r="229" spans="1:3" x14ac:dyDescent="0.3">
      <c r="A229" s="2">
        <v>60110005</v>
      </c>
      <c r="B229" t="s">
        <v>196</v>
      </c>
      <c r="C229" s="8"/>
    </row>
    <row r="230" spans="1:3" x14ac:dyDescent="0.3">
      <c r="A230" s="2">
        <v>60110006</v>
      </c>
      <c r="B230" t="s">
        <v>36</v>
      </c>
      <c r="C230" s="8"/>
    </row>
    <row r="231" spans="1:3" x14ac:dyDescent="0.3">
      <c r="A231" s="2">
        <v>60110007</v>
      </c>
      <c r="B231" t="s">
        <v>35</v>
      </c>
      <c r="C231" s="8"/>
    </row>
    <row r="232" spans="1:3" x14ac:dyDescent="0.3">
      <c r="A232" s="4">
        <v>60111</v>
      </c>
      <c r="B232" s="3" t="s">
        <v>45</v>
      </c>
      <c r="C232" s="8"/>
    </row>
    <row r="233" spans="1:3" x14ac:dyDescent="0.3">
      <c r="A233" s="2">
        <v>60111001</v>
      </c>
      <c r="B233" t="s">
        <v>46</v>
      </c>
      <c r="C233" s="8"/>
    </row>
    <row r="234" spans="1:3" x14ac:dyDescent="0.3">
      <c r="A234" s="2">
        <v>60111002</v>
      </c>
      <c r="B234" t="s">
        <v>197</v>
      </c>
      <c r="C234" s="8"/>
    </row>
    <row r="235" spans="1:3" x14ac:dyDescent="0.3">
      <c r="A235" s="2">
        <v>60111003</v>
      </c>
      <c r="B235" t="s">
        <v>198</v>
      </c>
      <c r="C235" s="8"/>
    </row>
    <row r="236" spans="1:3" x14ac:dyDescent="0.3">
      <c r="A236" s="2">
        <v>60111004</v>
      </c>
      <c r="B236" t="s">
        <v>199</v>
      </c>
      <c r="C236" s="8"/>
    </row>
    <row r="237" spans="1:3" x14ac:dyDescent="0.3">
      <c r="A237" s="2">
        <v>60111005</v>
      </c>
      <c r="B237" t="s">
        <v>200</v>
      </c>
      <c r="C237" s="8"/>
    </row>
    <row r="238" spans="1:3" x14ac:dyDescent="0.3">
      <c r="A238" s="4">
        <v>60112</v>
      </c>
      <c r="B238" s="3" t="s">
        <v>40</v>
      </c>
      <c r="C238" s="8"/>
    </row>
    <row r="239" spans="1:3" x14ac:dyDescent="0.3">
      <c r="A239" s="2">
        <v>60112001</v>
      </c>
      <c r="B239" t="s">
        <v>43</v>
      </c>
      <c r="C239" s="8"/>
    </row>
    <row r="240" spans="1:3" x14ac:dyDescent="0.3">
      <c r="A240" s="2">
        <v>60112002</v>
      </c>
      <c r="B240" t="s">
        <v>201</v>
      </c>
      <c r="C240" s="8"/>
    </row>
    <row r="241" spans="1:3" x14ac:dyDescent="0.3">
      <c r="A241" s="2">
        <v>60112003</v>
      </c>
      <c r="B241" t="s">
        <v>44</v>
      </c>
      <c r="C241" s="8"/>
    </row>
    <row r="242" spans="1:3" x14ac:dyDescent="0.3">
      <c r="A242" s="2">
        <v>60112004</v>
      </c>
      <c r="B242" t="s">
        <v>202</v>
      </c>
      <c r="C242" s="8"/>
    </row>
    <row r="243" spans="1:3" x14ac:dyDescent="0.3">
      <c r="A243" s="2">
        <v>60112005</v>
      </c>
      <c r="B243" t="s">
        <v>203</v>
      </c>
      <c r="C243" s="8"/>
    </row>
    <row r="244" spans="1:3" x14ac:dyDescent="0.3">
      <c r="A244" s="2">
        <v>60112006</v>
      </c>
      <c r="B244" t="s">
        <v>204</v>
      </c>
      <c r="C244" s="8"/>
    </row>
    <row r="245" spans="1:3" x14ac:dyDescent="0.3">
      <c r="A245" s="2">
        <v>60112007</v>
      </c>
      <c r="B245" t="s">
        <v>205</v>
      </c>
      <c r="C245" s="8"/>
    </row>
    <row r="246" spans="1:3" x14ac:dyDescent="0.3">
      <c r="A246" s="2">
        <v>60112008</v>
      </c>
      <c r="B246" t="s">
        <v>206</v>
      </c>
      <c r="C246" s="8"/>
    </row>
    <row r="247" spans="1:3" x14ac:dyDescent="0.3">
      <c r="A247" s="2">
        <v>60112009</v>
      </c>
      <c r="B247" t="s">
        <v>207</v>
      </c>
      <c r="C247" s="8"/>
    </row>
    <row r="248" spans="1:3" x14ac:dyDescent="0.3">
      <c r="A248" s="2">
        <v>60112010</v>
      </c>
      <c r="B248" t="s">
        <v>208</v>
      </c>
      <c r="C248" s="8"/>
    </row>
    <row r="249" spans="1:3" x14ac:dyDescent="0.3">
      <c r="A249" s="2">
        <v>60112011</v>
      </c>
      <c r="B249" t="s">
        <v>209</v>
      </c>
      <c r="C249" s="8"/>
    </row>
    <row r="250" spans="1:3" x14ac:dyDescent="0.3">
      <c r="A250" s="2">
        <v>60112012</v>
      </c>
      <c r="B250" t="s">
        <v>210</v>
      </c>
      <c r="C250" s="8"/>
    </row>
    <row r="251" spans="1:3" x14ac:dyDescent="0.3">
      <c r="A251" s="4">
        <v>60113</v>
      </c>
      <c r="B251" s="3" t="s">
        <v>211</v>
      </c>
      <c r="C251" s="8"/>
    </row>
    <row r="252" spans="1:3" x14ac:dyDescent="0.3">
      <c r="A252" s="2">
        <v>60113001</v>
      </c>
      <c r="B252" t="s">
        <v>212</v>
      </c>
      <c r="C252" s="8"/>
    </row>
    <row r="253" spans="1:3" x14ac:dyDescent="0.3">
      <c r="A253" s="2">
        <v>60113002</v>
      </c>
      <c r="B253" t="s">
        <v>213</v>
      </c>
      <c r="C253" s="8"/>
    </row>
    <row r="254" spans="1:3" x14ac:dyDescent="0.3">
      <c r="A254" s="2">
        <v>60113003</v>
      </c>
      <c r="B254" t="s">
        <v>214</v>
      </c>
      <c r="C254" s="8"/>
    </row>
    <row r="255" spans="1:3" x14ac:dyDescent="0.3">
      <c r="A255" s="2">
        <v>60113004</v>
      </c>
      <c r="B255" t="s">
        <v>215</v>
      </c>
      <c r="C255" s="8"/>
    </row>
    <row r="256" spans="1:3" x14ac:dyDescent="0.3">
      <c r="A256" s="2">
        <v>60113005</v>
      </c>
      <c r="B256" t="s">
        <v>216</v>
      </c>
      <c r="C256" s="8"/>
    </row>
    <row r="257" spans="1:3" x14ac:dyDescent="0.3">
      <c r="A257" s="2">
        <v>60113006</v>
      </c>
      <c r="B257" t="s">
        <v>217</v>
      </c>
      <c r="C257" s="8"/>
    </row>
    <row r="258" spans="1:3" x14ac:dyDescent="0.3">
      <c r="A258" s="2">
        <v>60113007</v>
      </c>
      <c r="B258" t="s">
        <v>218</v>
      </c>
      <c r="C258" s="8"/>
    </row>
    <row r="259" spans="1:3" x14ac:dyDescent="0.3">
      <c r="A259" s="2">
        <v>60113008</v>
      </c>
      <c r="B259" t="s">
        <v>219</v>
      </c>
      <c r="C259" s="8"/>
    </row>
    <row r="260" spans="1:3" x14ac:dyDescent="0.3">
      <c r="A260" s="4">
        <v>60202</v>
      </c>
      <c r="B260" s="3" t="s">
        <v>220</v>
      </c>
      <c r="C260" s="8"/>
    </row>
    <row r="261" spans="1:3" x14ac:dyDescent="0.3">
      <c r="A261" s="2">
        <v>60202001</v>
      </c>
      <c r="B261" t="s">
        <v>49</v>
      </c>
      <c r="C261" s="8"/>
    </row>
    <row r="262" spans="1:3" x14ac:dyDescent="0.3">
      <c r="A262" s="2">
        <v>60202002</v>
      </c>
      <c r="B262" t="s">
        <v>48</v>
      </c>
      <c r="C262" s="8"/>
    </row>
    <row r="263" spans="1:3" x14ac:dyDescent="0.3">
      <c r="A263" s="4">
        <v>60203</v>
      </c>
      <c r="B263" s="3" t="s">
        <v>132</v>
      </c>
      <c r="C263" s="8"/>
    </row>
    <row r="264" spans="1:3" x14ac:dyDescent="0.3">
      <c r="A264" s="2">
        <v>60203001</v>
      </c>
      <c r="B264" t="s">
        <v>133</v>
      </c>
      <c r="C264" s="8"/>
    </row>
    <row r="265" spans="1:3" x14ac:dyDescent="0.3">
      <c r="A265" s="2">
        <v>60203003</v>
      </c>
      <c r="B265" t="s">
        <v>221</v>
      </c>
      <c r="C265" s="8"/>
    </row>
    <row r="266" spans="1:3" x14ac:dyDescent="0.3">
      <c r="A266" s="2">
        <v>60203004</v>
      </c>
      <c r="B266" t="s">
        <v>47</v>
      </c>
      <c r="C266" s="8"/>
    </row>
    <row r="267" spans="1:3" x14ac:dyDescent="0.3">
      <c r="A267" s="2">
        <v>60203005</v>
      </c>
      <c r="B267" t="s">
        <v>222</v>
      </c>
      <c r="C267" s="8"/>
    </row>
  </sheetData>
  <autoFilter ref="A1:C267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6"/>
  <sheetViews>
    <sheetView topLeftCell="A4" workbookViewId="0">
      <selection activeCell="A4" sqref="A1:XFD1048576"/>
    </sheetView>
  </sheetViews>
  <sheetFormatPr baseColWidth="10" defaultColWidth="10.77734375" defaultRowHeight="14.4" x14ac:dyDescent="0.3"/>
  <cols>
    <col min="3" max="3" width="17.6640625" customWidth="1"/>
    <col min="4" max="6" width="12.5546875" bestFit="1" customWidth="1"/>
  </cols>
  <sheetData>
    <row r="1" spans="2:6" x14ac:dyDescent="0.3">
      <c r="B1" s="3" t="s">
        <v>238</v>
      </c>
    </row>
    <row r="3" spans="2:6" ht="18" x14ac:dyDescent="0.35">
      <c r="B3" s="55" t="s">
        <v>239</v>
      </c>
      <c r="C3" s="55"/>
      <c r="D3" s="55"/>
      <c r="E3" s="55"/>
      <c r="F3" s="55"/>
    </row>
    <row r="4" spans="2:6" ht="18" x14ac:dyDescent="0.35">
      <c r="B4" s="55" t="s">
        <v>240</v>
      </c>
      <c r="C4" s="55"/>
      <c r="D4" s="55"/>
      <c r="E4" s="55"/>
      <c r="F4" s="55"/>
    </row>
    <row r="5" spans="2:6" ht="18" x14ac:dyDescent="0.35">
      <c r="B5" s="55" t="s">
        <v>241</v>
      </c>
      <c r="C5" s="55"/>
      <c r="D5" s="55"/>
      <c r="E5" s="55"/>
      <c r="F5" s="55"/>
    </row>
    <row r="7" spans="2:6" x14ac:dyDescent="0.3">
      <c r="B7" s="10" t="s">
        <v>0</v>
      </c>
    </row>
    <row r="8" spans="2:6" x14ac:dyDescent="0.3">
      <c r="B8" s="10" t="s">
        <v>242</v>
      </c>
      <c r="F8" s="12"/>
    </row>
    <row r="9" spans="2:6" x14ac:dyDescent="0.3">
      <c r="B9" s="10" t="s">
        <v>1</v>
      </c>
      <c r="D9" s="13"/>
      <c r="E9" s="13">
        <f>D10</f>
        <v>200000</v>
      </c>
    </row>
    <row r="10" spans="2:6" x14ac:dyDescent="0.3">
      <c r="B10" t="s">
        <v>243</v>
      </c>
      <c r="D10" s="13">
        <v>200000</v>
      </c>
      <c r="E10" s="13"/>
    </row>
    <row r="11" spans="2:6" x14ac:dyDescent="0.3">
      <c r="B11" s="10" t="s">
        <v>244</v>
      </c>
      <c r="D11" s="13"/>
      <c r="E11" s="13">
        <f>D12</f>
        <v>80000</v>
      </c>
    </row>
    <row r="12" spans="2:6" x14ac:dyDescent="0.3">
      <c r="B12" s="14" t="s">
        <v>245</v>
      </c>
      <c r="D12" s="13">
        <v>80000</v>
      </c>
      <c r="E12" s="13"/>
    </row>
    <row r="13" spans="2:6" x14ac:dyDescent="0.3">
      <c r="B13" s="19" t="s">
        <v>250</v>
      </c>
      <c r="C13" s="10"/>
      <c r="D13" s="20"/>
      <c r="E13" s="13"/>
      <c r="F13" s="18">
        <f>E9+E11</f>
        <v>280000</v>
      </c>
    </row>
    <row r="14" spans="2:6" x14ac:dyDescent="0.3">
      <c r="B14" s="19"/>
      <c r="C14" s="10"/>
      <c r="D14" s="20"/>
      <c r="E14" s="13"/>
      <c r="F14" s="18"/>
    </row>
    <row r="15" spans="2:6" x14ac:dyDescent="0.3">
      <c r="B15" s="19"/>
      <c r="C15" s="10"/>
      <c r="D15" s="20"/>
      <c r="E15" s="13"/>
      <c r="F15" s="18"/>
    </row>
    <row r="16" spans="2:6" x14ac:dyDescent="0.3">
      <c r="B16" s="19" t="s">
        <v>251</v>
      </c>
      <c r="C16" s="10"/>
      <c r="D16" s="20"/>
      <c r="E16" s="13"/>
      <c r="F16" s="18"/>
    </row>
    <row r="17" spans="2:9" x14ac:dyDescent="0.3">
      <c r="B17" s="19" t="s">
        <v>252</v>
      </c>
      <c r="C17" s="10"/>
      <c r="D17" s="20"/>
      <c r="E17" s="13"/>
      <c r="F17" s="18"/>
    </row>
    <row r="18" spans="2:9" x14ac:dyDescent="0.3">
      <c r="B18" s="14" t="s">
        <v>253</v>
      </c>
      <c r="C18" s="10"/>
      <c r="D18" s="13">
        <v>95000</v>
      </c>
      <c r="E18" s="13"/>
      <c r="F18" s="18"/>
    </row>
    <row r="19" spans="2:9" x14ac:dyDescent="0.3">
      <c r="B19" s="19" t="s">
        <v>254</v>
      </c>
      <c r="C19" s="10"/>
      <c r="D19" s="20"/>
      <c r="E19" s="13"/>
      <c r="F19" s="18">
        <f>D18</f>
        <v>95000</v>
      </c>
    </row>
    <row r="21" spans="2:9" ht="15" thickBot="1" x14ac:dyDescent="0.35">
      <c r="B21" s="56" t="s">
        <v>255</v>
      </c>
      <c r="C21" s="56"/>
      <c r="D21" s="56"/>
      <c r="E21" s="56"/>
      <c r="F21" s="15">
        <f>F13+F19</f>
        <v>375000</v>
      </c>
    </row>
    <row r="22" spans="2:9" ht="15" thickTop="1" x14ac:dyDescent="0.3"/>
    <row r="23" spans="2:9" x14ac:dyDescent="0.3">
      <c r="B23" s="10" t="s">
        <v>11</v>
      </c>
      <c r="D23" s="13"/>
      <c r="E23" s="13"/>
      <c r="F23" s="13"/>
    </row>
    <row r="24" spans="2:9" x14ac:dyDescent="0.3">
      <c r="B24" s="10" t="s">
        <v>12</v>
      </c>
      <c r="C24" s="11"/>
      <c r="D24" s="13"/>
      <c r="E24" s="13"/>
      <c r="F24" s="13"/>
    </row>
    <row r="25" spans="2:9" x14ac:dyDescent="0.3">
      <c r="B25" s="10" t="s">
        <v>257</v>
      </c>
      <c r="C25" s="11"/>
      <c r="D25" s="13"/>
      <c r="E25" s="13">
        <f>D26</f>
        <v>75000</v>
      </c>
      <c r="F25" s="13"/>
    </row>
    <row r="26" spans="2:9" x14ac:dyDescent="0.3">
      <c r="B26" t="s">
        <v>256</v>
      </c>
      <c r="D26" s="13">
        <v>75000</v>
      </c>
      <c r="E26" s="13"/>
      <c r="F26" s="13"/>
    </row>
    <row r="27" spans="2:9" x14ac:dyDescent="0.3">
      <c r="B27" s="10" t="s">
        <v>113</v>
      </c>
      <c r="D27" s="13"/>
      <c r="E27" s="13"/>
      <c r="F27" s="13"/>
    </row>
    <row r="28" spans="2:9" x14ac:dyDescent="0.3">
      <c r="B28" s="10" t="s">
        <v>258</v>
      </c>
      <c r="D28" s="13"/>
      <c r="E28" s="13"/>
      <c r="F28" s="18">
        <f>E25</f>
        <v>75000</v>
      </c>
    </row>
    <row r="29" spans="2:9" x14ac:dyDescent="0.3">
      <c r="B29" s="10"/>
      <c r="D29" s="13"/>
      <c r="E29" s="13"/>
      <c r="F29" s="18"/>
    </row>
    <row r="30" spans="2:9" x14ac:dyDescent="0.3">
      <c r="B30" s="3" t="s">
        <v>118</v>
      </c>
      <c r="F30" s="17">
        <f>E31</f>
        <v>300000</v>
      </c>
      <c r="I30" t="s">
        <v>259</v>
      </c>
    </row>
    <row r="31" spans="2:9" x14ac:dyDescent="0.3">
      <c r="B31" t="s">
        <v>246</v>
      </c>
      <c r="D31" s="12"/>
      <c r="E31" s="13">
        <f>F21-F28</f>
        <v>300000</v>
      </c>
    </row>
    <row r="33" spans="2:6" ht="15" thickBot="1" x14ac:dyDescent="0.35">
      <c r="B33" s="54" t="s">
        <v>247</v>
      </c>
      <c r="C33" s="54"/>
      <c r="D33" s="54"/>
      <c r="E33" s="54"/>
      <c r="F33" s="15">
        <f>F30+F28</f>
        <v>375000</v>
      </c>
    </row>
    <row r="34" spans="2:6" ht="15" thickTop="1" x14ac:dyDescent="0.3">
      <c r="B34" s="16"/>
      <c r="C34" s="16"/>
      <c r="D34" s="16"/>
      <c r="E34" s="16"/>
      <c r="F34" s="17"/>
    </row>
    <row r="36" spans="2:6" x14ac:dyDescent="0.3">
      <c r="B36" s="53" t="s">
        <v>248</v>
      </c>
      <c r="C36" s="53"/>
      <c r="D36" s="54" t="s">
        <v>249</v>
      </c>
      <c r="E36" s="54"/>
      <c r="F36" s="54"/>
    </row>
  </sheetData>
  <mergeCells count="7">
    <mergeCell ref="B36:C36"/>
    <mergeCell ref="D36:F36"/>
    <mergeCell ref="B3:F3"/>
    <mergeCell ref="B4:F4"/>
    <mergeCell ref="B5:F5"/>
    <mergeCell ref="B21:E21"/>
    <mergeCell ref="B33:E3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B75A-1239-42E6-8C82-A53BD1249B5F}">
  <dimension ref="A1:E21"/>
  <sheetViews>
    <sheetView showGridLines="0" zoomScale="160" zoomScaleNormal="160" workbookViewId="0">
      <selection activeCell="F13" sqref="F13"/>
    </sheetView>
  </sheetViews>
  <sheetFormatPr baseColWidth="10" defaultColWidth="10.77734375" defaultRowHeight="14.4" x14ac:dyDescent="0.3"/>
  <cols>
    <col min="1" max="1" width="2.33203125" customWidth="1"/>
    <col min="3" max="3" width="15.88671875" customWidth="1"/>
    <col min="4" max="4" width="11.44140625" style="26"/>
  </cols>
  <sheetData>
    <row r="1" spans="1:5" x14ac:dyDescent="0.3">
      <c r="A1" t="s">
        <v>294</v>
      </c>
    </row>
    <row r="2" spans="1:5" x14ac:dyDescent="0.3">
      <c r="A2" s="54" t="s">
        <v>271</v>
      </c>
      <c r="B2" s="54"/>
      <c r="C2" s="54"/>
      <c r="D2" s="54"/>
      <c r="E2" s="54"/>
    </row>
    <row r="3" spans="1:5" x14ac:dyDescent="0.3">
      <c r="A3" s="54" t="s">
        <v>310</v>
      </c>
      <c r="B3" s="54"/>
      <c r="C3" s="54"/>
      <c r="D3" s="54"/>
      <c r="E3" s="54"/>
    </row>
    <row r="4" spans="1:5" x14ac:dyDescent="0.3">
      <c r="A4" s="54" t="s">
        <v>272</v>
      </c>
      <c r="B4" s="54"/>
      <c r="C4" s="54"/>
      <c r="D4" s="54"/>
      <c r="E4" s="54"/>
    </row>
    <row r="5" spans="1:5" ht="8.25" customHeight="1" x14ac:dyDescent="0.3"/>
    <row r="6" spans="1:5" x14ac:dyDescent="0.3">
      <c r="A6" s="3" t="s">
        <v>0</v>
      </c>
    </row>
    <row r="7" spans="1:5" x14ac:dyDescent="0.3">
      <c r="A7" s="3"/>
      <c r="B7" s="25" t="s">
        <v>273</v>
      </c>
      <c r="D7" s="26">
        <v>500000</v>
      </c>
    </row>
    <row r="8" spans="1:5" x14ac:dyDescent="0.3">
      <c r="A8" s="3"/>
      <c r="B8" s="25"/>
      <c r="D8" s="29"/>
    </row>
    <row r="9" spans="1:5" ht="6.75" customHeight="1" x14ac:dyDescent="0.3">
      <c r="A9" s="3"/>
      <c r="B9" s="25"/>
    </row>
    <row r="10" spans="1:5" s="3" customFormat="1" x14ac:dyDescent="0.3">
      <c r="B10" s="27" t="s">
        <v>275</v>
      </c>
      <c r="D10" s="28">
        <f>SUM(D7:D9)</f>
        <v>500000</v>
      </c>
    </row>
    <row r="11" spans="1:5" x14ac:dyDescent="0.3">
      <c r="A11" s="3"/>
      <c r="B11" s="25"/>
    </row>
    <row r="12" spans="1:5" x14ac:dyDescent="0.3">
      <c r="A12" s="3"/>
    </row>
    <row r="13" spans="1:5" x14ac:dyDescent="0.3">
      <c r="A13" s="3" t="s">
        <v>118</v>
      </c>
    </row>
    <row r="14" spans="1:5" x14ac:dyDescent="0.3">
      <c r="B14" s="25" t="s">
        <v>15</v>
      </c>
      <c r="D14" s="29">
        <v>370000</v>
      </c>
    </row>
    <row r="15" spans="1:5" ht="6.75" customHeight="1" x14ac:dyDescent="0.3"/>
    <row r="16" spans="1:5" s="3" customFormat="1" x14ac:dyDescent="0.3">
      <c r="B16" s="27" t="s">
        <v>247</v>
      </c>
      <c r="D16" s="28">
        <f>SUM(D13:D15)</f>
        <v>370000</v>
      </c>
    </row>
    <row r="19" spans="1:5" x14ac:dyDescent="0.3">
      <c r="A19" s="45"/>
      <c r="B19" s="45"/>
      <c r="C19" s="45"/>
      <c r="D19" s="45"/>
      <c r="E19" s="45"/>
    </row>
    <row r="20" spans="1:5" x14ac:dyDescent="0.3">
      <c r="A20" s="53" t="s">
        <v>248</v>
      </c>
      <c r="B20" s="53"/>
      <c r="C20" s="54" t="s">
        <v>249</v>
      </c>
      <c r="D20" s="54"/>
      <c r="E20" s="54"/>
    </row>
    <row r="21" spans="1:5" x14ac:dyDescent="0.3">
      <c r="A21" s="45"/>
      <c r="B21" s="45"/>
      <c r="C21" s="45"/>
      <c r="D21" s="45"/>
      <c r="E21" s="45"/>
    </row>
  </sheetData>
  <mergeCells count="5">
    <mergeCell ref="A2:E2"/>
    <mergeCell ref="A3:E3"/>
    <mergeCell ref="A4:E4"/>
    <mergeCell ref="A20:B20"/>
    <mergeCell ref="C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0D81-8BF0-469A-A6E8-9CFFD36DC6E3}">
  <dimension ref="A1:E61"/>
  <sheetViews>
    <sheetView showGridLines="0" tabSelected="1" zoomScale="160" zoomScaleNormal="160" workbookViewId="0">
      <selection activeCell="B4" sqref="B4"/>
    </sheetView>
  </sheetViews>
  <sheetFormatPr baseColWidth="10" defaultColWidth="10.77734375" defaultRowHeight="14.4" x14ac:dyDescent="0.3"/>
  <cols>
    <col min="2" max="2" width="34.5546875" customWidth="1"/>
    <col min="3" max="4" width="11.44140625" style="26"/>
  </cols>
  <sheetData>
    <row r="1" spans="1:4" x14ac:dyDescent="0.3">
      <c r="A1" s="54" t="s">
        <v>270</v>
      </c>
      <c r="B1" s="54"/>
      <c r="C1" s="54"/>
      <c r="D1" s="54"/>
    </row>
    <row r="2" spans="1:4" ht="7.5" customHeight="1" x14ac:dyDescent="0.3"/>
    <row r="3" spans="1:4" ht="21.75" customHeight="1" x14ac:dyDescent="0.3">
      <c r="A3" s="23" t="s">
        <v>260</v>
      </c>
      <c r="B3" s="23" t="s">
        <v>261</v>
      </c>
      <c r="C3" s="31" t="s">
        <v>262</v>
      </c>
      <c r="D3" s="31" t="s">
        <v>263</v>
      </c>
    </row>
    <row r="4" spans="1:4" x14ac:dyDescent="0.3">
      <c r="A4" s="30">
        <v>44621</v>
      </c>
      <c r="B4" s="24" t="s">
        <v>276</v>
      </c>
      <c r="C4" s="32"/>
      <c r="D4" s="32"/>
    </row>
    <row r="5" spans="1:4" x14ac:dyDescent="0.3">
      <c r="A5" s="24"/>
      <c r="B5" s="24" t="s">
        <v>273</v>
      </c>
      <c r="C5" s="32">
        <v>500000</v>
      </c>
      <c r="D5" s="32"/>
    </row>
    <row r="6" spans="1:4" x14ac:dyDescent="0.3">
      <c r="A6" s="24"/>
      <c r="B6" s="33" t="s">
        <v>15</v>
      </c>
      <c r="C6" s="32" t="s">
        <v>259</v>
      </c>
      <c r="D6" s="32">
        <v>500000</v>
      </c>
    </row>
    <row r="7" spans="1:4" x14ac:dyDescent="0.3">
      <c r="A7" s="24"/>
      <c r="B7" s="46" t="s">
        <v>277</v>
      </c>
      <c r="C7" s="32"/>
      <c r="D7" s="32"/>
    </row>
    <row r="8" spans="1:4" x14ac:dyDescent="0.3">
      <c r="A8" s="30">
        <v>44625</v>
      </c>
      <c r="B8" s="24" t="s">
        <v>278</v>
      </c>
      <c r="C8" s="32"/>
      <c r="D8" s="32"/>
    </row>
    <row r="9" spans="1:4" x14ac:dyDescent="0.3">
      <c r="A9" s="24"/>
      <c r="B9" s="24" t="s">
        <v>302</v>
      </c>
      <c r="C9" s="32">
        <v>500</v>
      </c>
      <c r="D9" s="32"/>
    </row>
    <row r="10" spans="1:4" x14ac:dyDescent="0.3">
      <c r="A10" s="24"/>
      <c r="B10" s="34" t="s">
        <v>273</v>
      </c>
      <c r="C10" s="32" t="s">
        <v>259</v>
      </c>
      <c r="D10" s="32">
        <v>500</v>
      </c>
    </row>
    <row r="11" spans="1:4" x14ac:dyDescent="0.3">
      <c r="A11" s="24"/>
      <c r="B11" s="40" t="s">
        <v>303</v>
      </c>
      <c r="C11" s="32"/>
      <c r="D11" s="32"/>
    </row>
    <row r="12" spans="1:4" s="45" customFormat="1" x14ac:dyDescent="0.3">
      <c r="A12" s="47">
        <v>44632</v>
      </c>
      <c r="B12" s="46" t="s">
        <v>281</v>
      </c>
      <c r="C12" s="48"/>
      <c r="D12" s="48"/>
    </row>
    <row r="13" spans="1:4" s="45" customFormat="1" x14ac:dyDescent="0.3">
      <c r="A13" s="46"/>
      <c r="B13" s="51" t="s">
        <v>308</v>
      </c>
      <c r="C13" s="48">
        <v>500</v>
      </c>
      <c r="D13" s="48"/>
    </row>
    <row r="14" spans="1:4" s="45" customFormat="1" x14ac:dyDescent="0.3">
      <c r="A14" s="46"/>
      <c r="B14" s="50" t="s">
        <v>273</v>
      </c>
      <c r="C14" s="48"/>
      <c r="D14" s="48">
        <v>500</v>
      </c>
    </row>
    <row r="15" spans="1:4" s="45" customFormat="1" x14ac:dyDescent="0.3">
      <c r="A15" s="46"/>
      <c r="B15" s="52" t="s">
        <v>309</v>
      </c>
      <c r="C15" s="48"/>
      <c r="D15" s="48"/>
    </row>
    <row r="16" spans="1:4" x14ac:dyDescent="0.3">
      <c r="A16" s="30">
        <v>44637</v>
      </c>
      <c r="B16" s="24" t="s">
        <v>279</v>
      </c>
      <c r="C16" s="32"/>
      <c r="D16" s="32"/>
    </row>
    <row r="17" spans="1:4" x14ac:dyDescent="0.3">
      <c r="A17" s="24"/>
      <c r="B17" s="24" t="s">
        <v>265</v>
      </c>
      <c r="C17" s="32">
        <v>3000</v>
      </c>
      <c r="D17" s="32"/>
    </row>
    <row r="18" spans="1:4" x14ac:dyDescent="0.3">
      <c r="A18" s="24"/>
      <c r="B18" s="34" t="s">
        <v>273</v>
      </c>
      <c r="C18" s="32"/>
      <c r="D18" s="32">
        <v>3000</v>
      </c>
    </row>
    <row r="19" spans="1:4" x14ac:dyDescent="0.3">
      <c r="A19" s="24"/>
      <c r="B19" s="24" t="s">
        <v>280</v>
      </c>
      <c r="C19" s="32"/>
      <c r="D19" s="32"/>
    </row>
    <row r="20" spans="1:4" x14ac:dyDescent="0.3">
      <c r="A20" s="30">
        <v>44643</v>
      </c>
      <c r="B20" s="24" t="s">
        <v>283</v>
      </c>
      <c r="C20" s="32"/>
      <c r="D20" s="32"/>
    </row>
    <row r="21" spans="1:4" x14ac:dyDescent="0.3">
      <c r="A21" s="24"/>
      <c r="B21" s="42" t="s">
        <v>304</v>
      </c>
      <c r="C21" s="43">
        <v>150000</v>
      </c>
      <c r="D21" s="43"/>
    </row>
    <row r="22" spans="1:4" x14ac:dyDescent="0.3">
      <c r="A22" s="24"/>
      <c r="B22" s="44" t="s">
        <v>273</v>
      </c>
      <c r="C22" s="43"/>
      <c r="D22" s="43">
        <v>150000</v>
      </c>
    </row>
    <row r="23" spans="1:4" x14ac:dyDescent="0.3">
      <c r="A23" s="24"/>
      <c r="B23" s="46" t="s">
        <v>305</v>
      </c>
      <c r="C23" s="32"/>
      <c r="D23" s="32" t="s">
        <v>259</v>
      </c>
    </row>
    <row r="24" spans="1:4" x14ac:dyDescent="0.3">
      <c r="A24" s="47">
        <v>44649</v>
      </c>
      <c r="B24" s="46" t="s">
        <v>282</v>
      </c>
      <c r="C24" s="32"/>
      <c r="D24" s="32"/>
    </row>
    <row r="25" spans="1:4" x14ac:dyDescent="0.3">
      <c r="A25" s="30" t="s">
        <v>259</v>
      </c>
      <c r="B25" s="24" t="s">
        <v>306</v>
      </c>
      <c r="C25" s="32">
        <v>200</v>
      </c>
      <c r="D25" s="32"/>
    </row>
    <row r="26" spans="1:4" x14ac:dyDescent="0.3">
      <c r="A26" s="24" t="s">
        <v>259</v>
      </c>
      <c r="B26" s="49" t="s">
        <v>265</v>
      </c>
      <c r="C26" s="32" t="s">
        <v>259</v>
      </c>
      <c r="D26" s="32">
        <v>200</v>
      </c>
    </row>
    <row r="27" spans="1:4" x14ac:dyDescent="0.3">
      <c r="A27" s="24"/>
      <c r="B27" s="41" t="s">
        <v>307</v>
      </c>
      <c r="C27" s="32" t="s">
        <v>259</v>
      </c>
      <c r="D27" s="32"/>
    </row>
    <row r="61" spans="5:5" x14ac:dyDescent="0.3">
      <c r="E61" s="26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202A-063E-4B1B-9E33-26FF0EB84743}">
  <dimension ref="A1:A7"/>
  <sheetViews>
    <sheetView topLeftCell="A7" workbookViewId="0">
      <selection activeCell="F25" sqref="D25:F31"/>
    </sheetView>
  </sheetViews>
  <sheetFormatPr baseColWidth="10" defaultRowHeight="14.4" x14ac:dyDescent="0.3"/>
  <sheetData>
    <row r="1" spans="1:1" x14ac:dyDescent="0.3">
      <c r="A1" t="s">
        <v>295</v>
      </c>
    </row>
    <row r="2" spans="1:1" x14ac:dyDescent="0.3">
      <c r="A2" t="s">
        <v>296</v>
      </c>
    </row>
    <row r="3" spans="1:1" x14ac:dyDescent="0.3">
      <c r="A3" t="s">
        <v>297</v>
      </c>
    </row>
    <row r="4" spans="1:1" x14ac:dyDescent="0.3">
      <c r="A4" t="s">
        <v>298</v>
      </c>
    </row>
    <row r="5" spans="1:1" x14ac:dyDescent="0.3">
      <c r="A5" t="s">
        <v>299</v>
      </c>
    </row>
    <row r="6" spans="1:1" x14ac:dyDescent="0.3">
      <c r="A6" t="s">
        <v>300</v>
      </c>
    </row>
    <row r="7" spans="1:1" x14ac:dyDescent="0.3">
      <c r="A7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de cuentas</vt:lpstr>
      <vt:lpstr>b. apertura</vt:lpstr>
      <vt:lpstr>BALANCE DE APERTURA</vt:lpstr>
      <vt:lpstr>LIBRO DIARIO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2023-12-07T05:16:24Z</dcterms:modified>
</cp:coreProperties>
</file>