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13_ncr:1_{87CB1497-6043-4AE9-85DC-343281D26DEF}" xr6:coauthVersionLast="43" xr6:coauthVersionMax="43" xr10:uidLastSave="{00000000-0000-0000-0000-000000000000}"/>
  <bookViews>
    <workbookView xWindow="-108" yWindow="-108" windowWidth="23256" windowHeight="12456" activeTab="5" xr2:uid="{B337BABD-2CA1-40E2-812E-006FA5AF6AA8}"/>
  </bookViews>
  <sheets>
    <sheet name="tablas" sheetId="1" r:id="rId1"/>
    <sheet name="datos" sheetId="2" r:id="rId2"/>
    <sheet name="Hoja2" sheetId="4" r:id="rId3"/>
    <sheet name="Hoja4" sheetId="6" r:id="rId4"/>
    <sheet name="Hoja3" sheetId="5" r:id="rId5"/>
    <sheet name="Hoja1" sheetId="3" r:id="rId6"/>
  </sheets>
  <definedNames>
    <definedName name="_xlnm._FilterDatabase" localSheetId="1" hidden="1">datos!$B$1:$K$51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5" i="3"/>
  <c r="I12" i="3"/>
  <c r="H12" i="3"/>
  <c r="G12" i="3"/>
  <c r="F12" i="3"/>
  <c r="E12" i="3"/>
  <c r="H7" i="5"/>
  <c r="H6" i="5"/>
  <c r="E6" i="5"/>
  <c r="G6" i="5"/>
  <c r="F21" i="5" l="1"/>
  <c r="G27" i="5" s="1"/>
  <c r="E21" i="5"/>
  <c r="G21" i="5"/>
  <c r="G8" i="5"/>
  <c r="G7" i="5"/>
  <c r="H21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D21" i="5"/>
  <c r="G9" i="5"/>
  <c r="G10" i="5"/>
  <c r="G11" i="5"/>
  <c r="G12" i="5"/>
  <c r="G13" i="5"/>
  <c r="G14" i="5"/>
  <c r="G15" i="5"/>
  <c r="G16" i="5"/>
  <c r="G17" i="5"/>
  <c r="G18" i="5"/>
  <c r="G19" i="5"/>
  <c r="G20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I12" i="4" l="1"/>
  <c r="H12" i="4"/>
  <c r="E5" i="4"/>
  <c r="M246" i="1" l="1"/>
  <c r="H246" i="1"/>
  <c r="N246" i="1" s="1"/>
  <c r="N245" i="1" s="1"/>
  <c r="N244" i="1" s="1"/>
  <c r="N243" i="1" s="1"/>
  <c r="N242" i="1" s="1"/>
  <c r="N241" i="1" s="1"/>
  <c r="N240" i="1" s="1"/>
  <c r="F246" i="1"/>
  <c r="M245" i="1"/>
  <c r="H245" i="1"/>
  <c r="I245" i="1" s="1"/>
  <c r="F245" i="1"/>
  <c r="M244" i="1"/>
  <c r="H244" i="1"/>
  <c r="I244" i="1" s="1"/>
  <c r="F244" i="1"/>
  <c r="M243" i="1"/>
  <c r="M242" i="1" s="1"/>
  <c r="M241" i="1" s="1"/>
  <c r="M240" i="1" s="1"/>
  <c r="H243" i="1"/>
  <c r="I243" i="1" s="1"/>
  <c r="F243" i="1"/>
  <c r="H242" i="1"/>
  <c r="I242" i="1" s="1"/>
  <c r="F242" i="1"/>
  <c r="H241" i="1"/>
  <c r="I241" i="1" s="1"/>
  <c r="F241" i="1"/>
  <c r="J240" i="1"/>
  <c r="J241" i="1" s="1"/>
  <c r="J242" i="1" s="1"/>
  <c r="J243" i="1" s="1"/>
  <c r="J244" i="1" s="1"/>
  <c r="J245" i="1" s="1"/>
  <c r="J246" i="1" s="1"/>
  <c r="H240" i="1"/>
  <c r="I240" i="1" s="1"/>
  <c r="L240" i="1" s="1"/>
  <c r="L241" i="1" s="1"/>
  <c r="L242" i="1" s="1"/>
  <c r="L243" i="1" s="1"/>
  <c r="L244" i="1" s="1"/>
  <c r="L245" i="1" s="1"/>
  <c r="F240" i="1"/>
  <c r="K240" i="1" l="1"/>
  <c r="K241" i="1" s="1"/>
  <c r="K242" i="1" s="1"/>
  <c r="K243" i="1" s="1"/>
  <c r="K244" i="1" s="1"/>
  <c r="K245" i="1" s="1"/>
  <c r="K246" i="1" s="1"/>
  <c r="I246" i="1"/>
  <c r="O246" i="1" s="1"/>
  <c r="O245" i="1" s="1"/>
  <c r="O244" i="1" s="1"/>
  <c r="O243" i="1" s="1"/>
  <c r="O242" i="1" s="1"/>
  <c r="O241" i="1" s="1"/>
  <c r="O240" i="1" s="1"/>
  <c r="D214" i="1"/>
  <c r="E213" i="1" s="1"/>
  <c r="F213" i="1" s="1"/>
  <c r="J213" i="1"/>
  <c r="J212" i="1"/>
  <c r="G212" i="1"/>
  <c r="G213" i="1" s="1"/>
  <c r="E212" i="1"/>
  <c r="H212" i="1" s="1"/>
  <c r="K185" i="1"/>
  <c r="J185" i="1"/>
  <c r="J184" i="1" s="1"/>
  <c r="J183" i="1" s="1"/>
  <c r="J182" i="1" s="1"/>
  <c r="J181" i="1" s="1"/>
  <c r="E186" i="1"/>
  <c r="F186" i="1" s="1"/>
  <c r="D186" i="1"/>
  <c r="E185" i="1"/>
  <c r="F185" i="1" s="1"/>
  <c r="E184" i="1"/>
  <c r="F184" i="1" s="1"/>
  <c r="E183" i="1"/>
  <c r="F183" i="1" s="1"/>
  <c r="G182" i="1"/>
  <c r="G183" i="1" s="1"/>
  <c r="G184" i="1" s="1"/>
  <c r="G185" i="1" s="1"/>
  <c r="E182" i="1"/>
  <c r="F182" i="1" s="1"/>
  <c r="I182" i="1" s="1"/>
  <c r="I183" i="1" s="1"/>
  <c r="I184" i="1" s="1"/>
  <c r="I185" i="1" s="1"/>
  <c r="E181" i="1"/>
  <c r="H181" i="1" s="1"/>
  <c r="H182" i="1" s="1"/>
  <c r="H183" i="1" s="1"/>
  <c r="H184" i="1" s="1"/>
  <c r="H185" i="1" s="1"/>
  <c r="J154" i="1"/>
  <c r="J153" i="1" s="1"/>
  <c r="D155" i="1"/>
  <c r="E154" i="1" s="1"/>
  <c r="K154" i="1" s="1"/>
  <c r="L154" i="1" s="1"/>
  <c r="G153" i="1"/>
  <c r="G154" i="1" s="1"/>
  <c r="J103" i="1"/>
  <c r="J102" i="1" s="1"/>
  <c r="J101" i="1" s="1"/>
  <c r="J100" i="1" s="1"/>
  <c r="J99" i="1" s="1"/>
  <c r="J98" i="1" s="1"/>
  <c r="J97" i="1" s="1"/>
  <c r="J96" i="1" s="1"/>
  <c r="G91" i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E95" i="1"/>
  <c r="E91" i="1"/>
  <c r="H91" i="1" s="1"/>
  <c r="E98" i="1"/>
  <c r="F98" i="1" s="1"/>
  <c r="E99" i="1"/>
  <c r="F99" i="1" s="1"/>
  <c r="E97" i="1"/>
  <c r="F97" i="1" s="1"/>
  <c r="K132" i="1"/>
  <c r="L132" i="1" s="1"/>
  <c r="E132" i="1"/>
  <c r="F132" i="1" s="1"/>
  <c r="J131" i="1"/>
  <c r="J130" i="1" s="1"/>
  <c r="J129" i="1" s="1"/>
  <c r="J128" i="1" s="1"/>
  <c r="J127" i="1" s="1"/>
  <c r="J126" i="1" s="1"/>
  <c r="J125" i="1" s="1"/>
  <c r="J124" i="1" s="1"/>
  <c r="J123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G124" i="1"/>
  <c r="G125" i="1" s="1"/>
  <c r="G126" i="1" s="1"/>
  <c r="G127" i="1" s="1"/>
  <c r="G128" i="1" s="1"/>
  <c r="G129" i="1" s="1"/>
  <c r="G130" i="1" s="1"/>
  <c r="G131" i="1" s="1"/>
  <c r="G132" i="1" s="1"/>
  <c r="E124" i="1"/>
  <c r="F124" i="1" s="1"/>
  <c r="I124" i="1" s="1"/>
  <c r="E123" i="1"/>
  <c r="H123" i="1" s="1"/>
  <c r="H124" i="1" s="1"/>
  <c r="E92" i="1"/>
  <c r="E93" i="1"/>
  <c r="E94" i="1"/>
  <c r="E96" i="1"/>
  <c r="F96" i="1" s="1"/>
  <c r="E100" i="1"/>
  <c r="E101" i="1"/>
  <c r="E102" i="1"/>
  <c r="E103" i="1"/>
  <c r="K103" i="1" s="1"/>
  <c r="L246" i="1" l="1"/>
  <c r="H213" i="1"/>
  <c r="K213" i="1"/>
  <c r="E214" i="1"/>
  <c r="F212" i="1"/>
  <c r="E153" i="1"/>
  <c r="E155" i="1" s="1"/>
  <c r="F181" i="1"/>
  <c r="H92" i="1"/>
  <c r="H93" i="1" s="1"/>
  <c r="H94" i="1" s="1"/>
  <c r="H95" i="1" s="1"/>
  <c r="H96" i="1" s="1"/>
  <c r="H97" i="1" s="1"/>
  <c r="H98" i="1" s="1"/>
  <c r="K102" i="1"/>
  <c r="L103" i="1"/>
  <c r="J95" i="1"/>
  <c r="J94" i="1" s="1"/>
  <c r="J93" i="1" s="1"/>
  <c r="J92" i="1" s="1"/>
  <c r="J91" i="1" s="1"/>
  <c r="G103" i="1"/>
  <c r="K131" i="1"/>
  <c r="H125" i="1"/>
  <c r="H126" i="1" s="1"/>
  <c r="H127" i="1" s="1"/>
  <c r="H128" i="1" s="1"/>
  <c r="H129" i="1" s="1"/>
  <c r="H130" i="1" s="1"/>
  <c r="H131" i="1" s="1"/>
  <c r="H132" i="1" s="1"/>
  <c r="D104" i="1"/>
  <c r="I125" i="1"/>
  <c r="I126" i="1" s="1"/>
  <c r="I127" i="1" s="1"/>
  <c r="I128" i="1" s="1"/>
  <c r="I129" i="1" s="1"/>
  <c r="I130" i="1" s="1"/>
  <c r="I131" i="1" s="1"/>
  <c r="I132" i="1" s="1"/>
  <c r="E104" i="1"/>
  <c r="F104" i="1" s="1"/>
  <c r="F123" i="1"/>
  <c r="F101" i="1"/>
  <c r="F95" i="1"/>
  <c r="F94" i="1"/>
  <c r="F93" i="1"/>
  <c r="F92" i="1"/>
  <c r="J68" i="1"/>
  <c r="J67" i="1" s="1"/>
  <c r="J66" i="1" s="1"/>
  <c r="G66" i="1"/>
  <c r="G67" i="1" s="1"/>
  <c r="G68" i="1" s="1"/>
  <c r="E69" i="1"/>
  <c r="E67" i="1" s="1"/>
  <c r="D53" i="1"/>
  <c r="D55" i="1"/>
  <c r="L213" i="1" l="1"/>
  <c r="L212" i="1" s="1"/>
  <c r="K212" i="1"/>
  <c r="F214" i="1"/>
  <c r="I212" i="1"/>
  <c r="I213" i="1" s="1"/>
  <c r="K130" i="1"/>
  <c r="L131" i="1"/>
  <c r="I97" i="1"/>
  <c r="H99" i="1"/>
  <c r="I98" i="1"/>
  <c r="K101" i="1"/>
  <c r="L102" i="1"/>
  <c r="E66" i="1"/>
  <c r="E68" i="1"/>
  <c r="F103" i="1"/>
  <c r="F100" i="1"/>
  <c r="F102" i="1"/>
  <c r="F91" i="1"/>
  <c r="I91" i="1" s="1"/>
  <c r="I92" i="1" s="1"/>
  <c r="I93" i="1" s="1"/>
  <c r="I94" i="1" s="1"/>
  <c r="I95" i="1" s="1"/>
  <c r="I96" i="1" s="1"/>
  <c r="F67" i="1"/>
  <c r="M26" i="1"/>
  <c r="M25" i="1" s="1"/>
  <c r="M24" i="1" s="1"/>
  <c r="M23" i="1" s="1"/>
  <c r="M22" i="1" s="1"/>
  <c r="M21" i="1" s="1"/>
  <c r="M20" i="1" s="1"/>
  <c r="J20" i="1"/>
  <c r="J21" i="1" s="1"/>
  <c r="J22" i="1" s="1"/>
  <c r="J23" i="1" s="1"/>
  <c r="J24" i="1" s="1"/>
  <c r="J25" i="1" s="1"/>
  <c r="J26" i="1" s="1"/>
  <c r="G27" i="1"/>
  <c r="H21" i="1" s="1"/>
  <c r="I21" i="1" s="1"/>
  <c r="F26" i="1"/>
  <c r="P26" i="1" s="1"/>
  <c r="F25" i="1"/>
  <c r="P25" i="1" s="1"/>
  <c r="F24" i="1"/>
  <c r="P24" i="1" s="1"/>
  <c r="F23" i="1"/>
  <c r="P23" i="1" s="1"/>
  <c r="F22" i="1"/>
  <c r="P22" i="1" s="1"/>
  <c r="F21" i="1"/>
  <c r="P21" i="1" s="1"/>
  <c r="F20" i="1"/>
  <c r="P20" i="1" s="1"/>
  <c r="L185" i="1" l="1"/>
  <c r="K184" i="1"/>
  <c r="K129" i="1"/>
  <c r="L130" i="1"/>
  <c r="K100" i="1"/>
  <c r="L101" i="1"/>
  <c r="H100" i="1"/>
  <c r="I99" i="1"/>
  <c r="F68" i="1"/>
  <c r="L68" i="1" s="1"/>
  <c r="L67" i="1" s="1"/>
  <c r="K68" i="1"/>
  <c r="K67" i="1" s="1"/>
  <c r="K66" i="1" s="1"/>
  <c r="H66" i="1"/>
  <c r="H67" i="1" s="1"/>
  <c r="H68" i="1" s="1"/>
  <c r="F69" i="1"/>
  <c r="H25" i="1"/>
  <c r="I25" i="1" s="1"/>
  <c r="H20" i="1"/>
  <c r="H22" i="1"/>
  <c r="I22" i="1" s="1"/>
  <c r="H23" i="1"/>
  <c r="I23" i="1" s="1"/>
  <c r="F66" i="1"/>
  <c r="H24" i="1"/>
  <c r="I24" i="1" s="1"/>
  <c r="H26" i="1"/>
  <c r="D51" i="1"/>
  <c r="L184" i="1" l="1"/>
  <c r="K183" i="1"/>
  <c r="K128" i="1"/>
  <c r="L129" i="1"/>
  <c r="H101" i="1"/>
  <c r="H102" i="1" s="1"/>
  <c r="H103" i="1" s="1"/>
  <c r="I100" i="1"/>
  <c r="I101" i="1" s="1"/>
  <c r="I102" i="1" s="1"/>
  <c r="I103" i="1" s="1"/>
  <c r="L100" i="1"/>
  <c r="K99" i="1"/>
  <c r="G69" i="1"/>
  <c r="I66" i="1"/>
  <c r="I67" i="1" s="1"/>
  <c r="I68" i="1" s="1"/>
  <c r="L66" i="1"/>
  <c r="I20" i="1"/>
  <c r="L20" i="1" s="1"/>
  <c r="L21" i="1" s="1"/>
  <c r="L22" i="1" s="1"/>
  <c r="L23" i="1" s="1"/>
  <c r="L24" i="1" s="1"/>
  <c r="L25" i="1" s="1"/>
  <c r="K20" i="1"/>
  <c r="K21" i="1" s="1"/>
  <c r="K22" i="1" s="1"/>
  <c r="K23" i="1" s="1"/>
  <c r="K24" i="1" s="1"/>
  <c r="K25" i="1" s="1"/>
  <c r="K26" i="1" s="1"/>
  <c r="H27" i="1"/>
  <c r="I26" i="1"/>
  <c r="O26" i="1" s="1"/>
  <c r="N26" i="1"/>
  <c r="N25" i="1" s="1"/>
  <c r="N24" i="1" s="1"/>
  <c r="N23" i="1" s="1"/>
  <c r="N22" i="1" s="1"/>
  <c r="N21" i="1" s="1"/>
  <c r="N20" i="1" s="1"/>
  <c r="L183" i="1" l="1"/>
  <c r="K182" i="1"/>
  <c r="K127" i="1"/>
  <c r="L128" i="1"/>
  <c r="L99" i="1"/>
  <c r="K98" i="1"/>
  <c r="L26" i="1"/>
  <c r="O25" i="1"/>
  <c r="O24" i="1" s="1"/>
  <c r="O23" i="1" s="1"/>
  <c r="O22" i="1" s="1"/>
  <c r="O21" i="1" s="1"/>
  <c r="O20" i="1" s="1"/>
  <c r="I27" i="1"/>
  <c r="L182" i="1" l="1"/>
  <c r="K181" i="1"/>
  <c r="L181" i="1" s="1"/>
  <c r="K126" i="1"/>
  <c r="L127" i="1"/>
  <c r="L98" i="1"/>
  <c r="K97" i="1"/>
  <c r="K125" i="1" l="1"/>
  <c r="L126" i="1"/>
  <c r="K96" i="1"/>
  <c r="L97" i="1"/>
  <c r="K124" i="1" l="1"/>
  <c r="L125" i="1"/>
  <c r="K95" i="1"/>
  <c r="L96" i="1"/>
  <c r="K123" i="1" l="1"/>
  <c r="L123" i="1" s="1"/>
  <c r="L124" i="1"/>
  <c r="K94" i="1"/>
  <c r="L95" i="1"/>
  <c r="K93" i="1" l="1"/>
  <c r="L94" i="1"/>
  <c r="L93" i="1" l="1"/>
  <c r="K92" i="1"/>
  <c r="L92" i="1" l="1"/>
  <c r="K91" i="1"/>
  <c r="L91" i="1" s="1"/>
  <c r="F154" i="1"/>
  <c r="H153" i="1"/>
  <c r="H154" i="1" s="1"/>
  <c r="F153" i="1" l="1"/>
  <c r="K153" i="1"/>
  <c r="I153" i="1" l="1"/>
  <c r="I154" i="1" s="1"/>
  <c r="F155" i="1"/>
  <c r="L153" i="1"/>
</calcChain>
</file>

<file path=xl/sharedStrings.xml><?xml version="1.0" encoding="utf-8"?>
<sst xmlns="http://schemas.openxmlformats.org/spreadsheetml/2006/main" count="909" uniqueCount="248">
  <si>
    <t>que edad tienes ?</t>
  </si>
  <si>
    <t>Marca temporal</t>
  </si>
  <si>
    <t>¿Cuál es tu nombre?</t>
  </si>
  <si>
    <t>¿Que edad tienes?</t>
  </si>
  <si>
    <t>¿Cuál es tu genero?</t>
  </si>
  <si>
    <t>¿Que semestre estas cursando?</t>
  </si>
  <si>
    <t>¿Que carrera estás estudiando?</t>
  </si>
  <si>
    <t>¿Realizaste un proceso de orientacion vocacional para elegir tu carrera?</t>
  </si>
  <si>
    <t>Indica tu nivel de satisfacción de la carrera que elegiste estudiar.</t>
  </si>
  <si>
    <t>¿Has cambiado de carrera alguna vez?</t>
  </si>
  <si>
    <t>Fuera del horario de Universidad ¿Cuántas horas a la semana dedicas a estudiar?</t>
  </si>
  <si>
    <t>2023/09/13 11:01:42 p. m. GMT-4</t>
  </si>
  <si>
    <t xml:space="preserve">Mishel </t>
  </si>
  <si>
    <t>Mujer</t>
  </si>
  <si>
    <t>Cuarto Semestre</t>
  </si>
  <si>
    <t>Ingenieria Comercial</t>
  </si>
  <si>
    <t>No</t>
  </si>
  <si>
    <t>Satisfecho/a</t>
  </si>
  <si>
    <t>2023/09/13 11:09:48 p. m. GMT-4</t>
  </si>
  <si>
    <t xml:space="preserve">Erick Santiago Alba Moreno </t>
  </si>
  <si>
    <t>Hombre</t>
  </si>
  <si>
    <t>Tercer Semestre</t>
  </si>
  <si>
    <t>Ingenieria en Redes y Telecomunicaciones</t>
  </si>
  <si>
    <t>Si</t>
  </si>
  <si>
    <t>2023/09/13 11:20:15 p. m. GMT-4</t>
  </si>
  <si>
    <t xml:space="preserve">Edward Alexis Claros Reyes </t>
  </si>
  <si>
    <t>Sexto Semestre</t>
  </si>
  <si>
    <t>Ingenieria en Sistemas</t>
  </si>
  <si>
    <t>Ni satisfecho/a Ni insatisfecho/a</t>
  </si>
  <si>
    <t>2023/09/13 11:30:48 p. m. GMT-4</t>
  </si>
  <si>
    <t xml:space="preserve">Douglas </t>
  </si>
  <si>
    <t>2023/09/13 11:35:42 p. m. GMT-4</t>
  </si>
  <si>
    <t xml:space="preserve">Yery </t>
  </si>
  <si>
    <t>Muy satisfecho/a</t>
  </si>
  <si>
    <t>2023/09/13 11:36:28 p. m. GMT-4</t>
  </si>
  <si>
    <t>Mario</t>
  </si>
  <si>
    <t>2023/09/13 11:37:09 p. m. GMT-4</t>
  </si>
  <si>
    <t>2023/09/13 11:59:08 p. m. GMT-4</t>
  </si>
  <si>
    <t xml:space="preserve">Yessica </t>
  </si>
  <si>
    <t>Octavo Semestre</t>
  </si>
  <si>
    <t>Contaduria Publica</t>
  </si>
  <si>
    <t>2023/09/14 2:00:29 a. m. GMT-4</t>
  </si>
  <si>
    <t xml:space="preserve">Alexander </t>
  </si>
  <si>
    <t>Quinto Semestre</t>
  </si>
  <si>
    <t>2023/09/14 6:33:44 a. m. GMT-4</t>
  </si>
  <si>
    <t xml:space="preserve">Adriana </t>
  </si>
  <si>
    <t>2023/09/14 8:30:56 a. m. GMT-4</t>
  </si>
  <si>
    <t xml:space="preserve">Rosalinda Molina Landivar </t>
  </si>
  <si>
    <t>Psicopedagogia</t>
  </si>
  <si>
    <t>2023/09/14 8:32:19 a. m. GMT-4</t>
  </si>
  <si>
    <t xml:space="preserve">Lisbeth Tejerina Molina </t>
  </si>
  <si>
    <t>Primer Semestre</t>
  </si>
  <si>
    <t>2023/09/14 8:43:01 a. m. GMT-4</t>
  </si>
  <si>
    <t xml:space="preserve">Dayana Maribel Arias Sempertegui </t>
  </si>
  <si>
    <t>Segundo Semestre</t>
  </si>
  <si>
    <t>2023/09/14 8:44:38 a. m. GMT-4</t>
  </si>
  <si>
    <t>Ana Ivette Tarqui Mico</t>
  </si>
  <si>
    <t>Ingenieria Industrial</t>
  </si>
  <si>
    <t>2023/09/14 8:53:43 a. m. GMT-4</t>
  </si>
  <si>
    <t>Richard vargas</t>
  </si>
  <si>
    <t>2023/09/14 8:59:19 a. m. GMT-4</t>
  </si>
  <si>
    <t xml:space="preserve">Claudia </t>
  </si>
  <si>
    <t>Insatisfecho</t>
  </si>
  <si>
    <t>2023/09/14 12:50:29 p. m. GMT-4</t>
  </si>
  <si>
    <t>Carlos</t>
  </si>
  <si>
    <t>2023/09/14 12:51:29 p. m. GMT-4</t>
  </si>
  <si>
    <t>Dennys</t>
  </si>
  <si>
    <t>2023/09/14 1:51:34 p. m. GMT-4</t>
  </si>
  <si>
    <t>Michael Castro torrez</t>
  </si>
  <si>
    <t>2023/09/14 4:00:37 p. m. GMT-4</t>
  </si>
  <si>
    <t>Marco K</t>
  </si>
  <si>
    <t>2023/09/14 4:01:16 p. m. GMT-4</t>
  </si>
  <si>
    <t>2023/09/14 4:55:00 p. m. GMT-4</t>
  </si>
  <si>
    <t>Luis Alberto</t>
  </si>
  <si>
    <t>Administracion de Empresas</t>
  </si>
  <si>
    <t>2023/09/14 5:06:05 p. m. GMT-4</t>
  </si>
  <si>
    <t>Karen</t>
  </si>
  <si>
    <t>2023/09/14 5:11:02 p. m. GMT-4</t>
  </si>
  <si>
    <t xml:space="preserve">Alejandra </t>
  </si>
  <si>
    <t>2023/09/14 5:12:55 p. m. GMT-4</t>
  </si>
  <si>
    <t xml:space="preserve">Diana Melgar </t>
  </si>
  <si>
    <t>Decimo Semestre</t>
  </si>
  <si>
    <t>2023/09/14 6:31:42 p. m. GMT-4</t>
  </si>
  <si>
    <t xml:space="preserve">Jessica Yaritxa Roca Mendoza </t>
  </si>
  <si>
    <t>Psicologia</t>
  </si>
  <si>
    <t>2023/09/14 6:35:20 p. m. GMT-4</t>
  </si>
  <si>
    <t>Carla</t>
  </si>
  <si>
    <t>Marketing y Publicidad</t>
  </si>
  <si>
    <t>2023/09/14 7:11:44 p. m. GMT-4</t>
  </si>
  <si>
    <t xml:space="preserve">Jairo </t>
  </si>
  <si>
    <t>2023/09/14 7:53:55 p. m. GMT-4</t>
  </si>
  <si>
    <t xml:space="preserve">Daniela </t>
  </si>
  <si>
    <t>2023/09/14 8:25:48 p. m. GMT-4</t>
  </si>
  <si>
    <t>Sebastian</t>
  </si>
  <si>
    <t>2023/09/14 8:26:19 p. m. GMT-4</t>
  </si>
  <si>
    <t xml:space="preserve">Aldair </t>
  </si>
  <si>
    <t>2023/09/14 8:30:57 p. m. GMT-4</t>
  </si>
  <si>
    <t xml:space="preserve">Pedro Luis Zubieta </t>
  </si>
  <si>
    <t>2023/09/14 8:33:04 p. m. GMT-4</t>
  </si>
  <si>
    <t>Hilary</t>
  </si>
  <si>
    <t>2023/09/14 8:34:58 p. m. GMT-4</t>
  </si>
  <si>
    <t xml:space="preserve">Jorge Justiniano </t>
  </si>
  <si>
    <t>2023/09/14 8:40:39 p. m. GMT-4</t>
  </si>
  <si>
    <t xml:space="preserve">Jade </t>
  </si>
  <si>
    <t>2023/09/14 8:42:41 p. m. GMT-4</t>
  </si>
  <si>
    <t>alejandro</t>
  </si>
  <si>
    <t>2023/09/14 8:43:07 p. m. GMT-4</t>
  </si>
  <si>
    <t>Leonardo</t>
  </si>
  <si>
    <t>Muy insatisfecho</t>
  </si>
  <si>
    <t>2023/09/14 8:43:46 p. m. GMT-4</t>
  </si>
  <si>
    <t xml:space="preserve">CARLOS </t>
  </si>
  <si>
    <t>2023/09/14 8:51:08 p. m. GMT-4</t>
  </si>
  <si>
    <t xml:space="preserve">Sergio Andres </t>
  </si>
  <si>
    <t>2023/09/14 9:04:35 p. m. GMT-4</t>
  </si>
  <si>
    <t xml:space="preserve">Valeria </t>
  </si>
  <si>
    <t>2023/09/14 9:19:39 p. m. GMT-4</t>
  </si>
  <si>
    <t xml:space="preserve">José Antonio </t>
  </si>
  <si>
    <t>Otro</t>
  </si>
  <si>
    <t>2023/09/14 9:29:59 p. m. GMT-4</t>
  </si>
  <si>
    <t xml:space="preserve">Mauricio Vasquez Menacho </t>
  </si>
  <si>
    <t>2023/09/14 9:45:33 p. m. GMT-4</t>
  </si>
  <si>
    <t>Hola soy. Goku</t>
  </si>
  <si>
    <t>2023/09/14 10:20:49 p. m. GMT-4</t>
  </si>
  <si>
    <t xml:space="preserve">Yhostin Plata </t>
  </si>
  <si>
    <t>Derecho</t>
  </si>
  <si>
    <t>2023/09/14 10:31:45 p. m. GMT-4</t>
  </si>
  <si>
    <t>Pablo</t>
  </si>
  <si>
    <t>2023/09/15 2:16:21 p. m. GMT-4</t>
  </si>
  <si>
    <t xml:space="preserve">Fernando Serrano Rojas </t>
  </si>
  <si>
    <t>2023/09/15 7:16:01 p. m. GMT-4</t>
  </si>
  <si>
    <t>Joel Miranda Dominguez</t>
  </si>
  <si>
    <t>2023/09/15 7:16:16 p. m. GMT-4</t>
  </si>
  <si>
    <t xml:space="preserve">José Fuentes </t>
  </si>
  <si>
    <t>2023/09/15 7:36:32 p. m. GMT-4</t>
  </si>
  <si>
    <t xml:space="preserve">Edgar </t>
  </si>
  <si>
    <t>2023/09/15 7:36:42 p. m. GMT-4</t>
  </si>
  <si>
    <t xml:space="preserve">Katherine </t>
  </si>
  <si>
    <t xml:space="preserve">  </t>
  </si>
  <si>
    <t xml:space="preserve"> </t>
  </si>
  <si>
    <t xml:space="preserve">Frec. Abs. Acumulada MENOR QUE </t>
  </si>
  <si>
    <t xml:space="preserve">Frec. Acumulada MAYOR QUE </t>
  </si>
  <si>
    <t>N intervalo</t>
  </si>
  <si>
    <t>limites</t>
  </si>
  <si>
    <t>marca de clase</t>
  </si>
  <si>
    <t>yi</t>
  </si>
  <si>
    <t>frec. Absoluta</t>
  </si>
  <si>
    <t>frec. Relativa</t>
  </si>
  <si>
    <t>ni</t>
  </si>
  <si>
    <t>hi</t>
  </si>
  <si>
    <t>frec.porcentual</t>
  </si>
  <si>
    <t>pi</t>
  </si>
  <si>
    <t>conteo</t>
  </si>
  <si>
    <t>reconteo de datos</t>
  </si>
  <si>
    <t>Ni</t>
  </si>
  <si>
    <t>Hi</t>
  </si>
  <si>
    <t>Pi</t>
  </si>
  <si>
    <t>Ni*</t>
  </si>
  <si>
    <t>Hi*</t>
  </si>
  <si>
    <t>Pi*</t>
  </si>
  <si>
    <t>IIIIIIIIIIIIIIIIIIIIIII</t>
  </si>
  <si>
    <t xml:space="preserve">IIIIIIIIIIII </t>
  </si>
  <si>
    <t>IIIIII</t>
  </si>
  <si>
    <t>I</t>
  </si>
  <si>
    <t>K</t>
  </si>
  <si>
    <t>MEDIA</t>
  </si>
  <si>
    <t>yi*ni</t>
  </si>
  <si>
    <t>MEDIANA</t>
  </si>
  <si>
    <t>Li</t>
  </si>
  <si>
    <t>Ls</t>
  </si>
  <si>
    <t>MODA</t>
  </si>
  <si>
    <t>genero</t>
  </si>
  <si>
    <t>M</t>
  </si>
  <si>
    <t>F</t>
  </si>
  <si>
    <t>O</t>
  </si>
  <si>
    <t>cuarto semestre</t>
  </si>
  <si>
    <t>primer seestres</t>
  </si>
  <si>
    <t>decimo semestre</t>
  </si>
  <si>
    <t>segundo semestre</t>
  </si>
  <si>
    <t>tercer semestre</t>
  </si>
  <si>
    <t>quinto semestre</t>
  </si>
  <si>
    <t>sexto semestre</t>
  </si>
  <si>
    <t>octavo semestre</t>
  </si>
  <si>
    <t>semestre</t>
  </si>
  <si>
    <t>PRIMER SEMESTRE</t>
  </si>
  <si>
    <t>SEGUNDO SEMESTRE</t>
  </si>
  <si>
    <t>TERCER SEMESTRE</t>
  </si>
  <si>
    <t>CUARTO SEMESTRE</t>
  </si>
  <si>
    <t>QUINTO SEMESTRE</t>
  </si>
  <si>
    <t>SEXTO SEMESTRE</t>
  </si>
  <si>
    <t>SEPTIMO SEMESTRE</t>
  </si>
  <si>
    <t>OCTAVO SEMESTRE</t>
  </si>
  <si>
    <t>NOVENO SEMESTRE</t>
  </si>
  <si>
    <t>DECIMO SEMESTRE</t>
  </si>
  <si>
    <t>II</t>
  </si>
  <si>
    <t>IIIIIIIII</t>
  </si>
  <si>
    <t>IIIIIII</t>
  </si>
  <si>
    <t>III</t>
  </si>
  <si>
    <t>comunicación social</t>
  </si>
  <si>
    <t>ingenieria en gestion petrolera</t>
  </si>
  <si>
    <t>medicina</t>
  </si>
  <si>
    <t>IIIII</t>
  </si>
  <si>
    <t>SI</t>
  </si>
  <si>
    <t>NO</t>
  </si>
  <si>
    <t>CONFORMIDAD</t>
  </si>
  <si>
    <t xml:space="preserve">IIIIIIII </t>
  </si>
  <si>
    <t>IIIIIIIIIIIIIIIIIIIIIIII</t>
  </si>
  <si>
    <t>0 a 2 horas</t>
  </si>
  <si>
    <t>2 a 4 horas</t>
  </si>
  <si>
    <t>4 a 6 horas</t>
  </si>
  <si>
    <t>6 a 8 horas</t>
  </si>
  <si>
    <t>variable</t>
  </si>
  <si>
    <t>edad</t>
  </si>
  <si>
    <t xml:space="preserve">tipo  </t>
  </si>
  <si>
    <t>continua cualitativa</t>
  </si>
  <si>
    <t>intervalos</t>
  </si>
  <si>
    <t>amplitud</t>
  </si>
  <si>
    <t>rango</t>
  </si>
  <si>
    <t>si</t>
  </si>
  <si>
    <t>no</t>
  </si>
  <si>
    <t>18-22</t>
  </si>
  <si>
    <t>22-26</t>
  </si>
  <si>
    <t>26-30</t>
  </si>
  <si>
    <t>30-34</t>
  </si>
  <si>
    <t>34-38</t>
  </si>
  <si>
    <t>38-42</t>
  </si>
  <si>
    <t>42-46</t>
  </si>
  <si>
    <t xml:space="preserve">2014 </t>
  </si>
  <si>
    <t xml:space="preserve">2015 </t>
  </si>
  <si>
    <t xml:space="preserve">2016 </t>
  </si>
  <si>
    <t>2017</t>
  </si>
  <si>
    <t>2018</t>
  </si>
  <si>
    <r>
      <t>2019</t>
    </r>
    <r>
      <rPr>
        <sz val="9"/>
        <rFont val="Arial"/>
        <family val="2"/>
      </rPr>
      <t>(p)</t>
    </r>
  </si>
  <si>
    <r>
      <t>2020</t>
    </r>
    <r>
      <rPr>
        <sz val="9"/>
        <rFont val="Arial"/>
        <family val="2"/>
      </rPr>
      <t>(p)</t>
    </r>
  </si>
  <si>
    <r>
      <t>2021</t>
    </r>
    <r>
      <rPr>
        <sz val="9"/>
        <rFont val="Arial"/>
        <family val="2"/>
      </rPr>
      <t>(p)</t>
    </r>
  </si>
  <si>
    <r>
      <t>2022</t>
    </r>
    <r>
      <rPr>
        <sz val="9"/>
        <rFont val="Arial"/>
        <family val="2"/>
      </rPr>
      <t>(p)</t>
    </r>
  </si>
  <si>
    <t>x</t>
  </si>
  <si>
    <t>cantidad de porcino</t>
  </si>
  <si>
    <t>y</t>
  </si>
  <si>
    <t>x°</t>
  </si>
  <si>
    <t>y°</t>
  </si>
  <si>
    <t>x*y</t>
  </si>
  <si>
    <t>CALCULO DE A</t>
  </si>
  <si>
    <t>a=</t>
  </si>
  <si>
    <t>nivel de satisfaccion de las carreras a estudiar</t>
  </si>
  <si>
    <t>promedio</t>
  </si>
  <si>
    <t>total</t>
  </si>
  <si>
    <t>cambiaste de carrera</t>
  </si>
  <si>
    <t>orientacion vocacional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</si>
</sst>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\ _€_-;\-* #,##0.00\ _€_-;_-* &quot;-&quot;??\ _€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7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7" fillId="0" borderId="0"/>
  </cellStyleXfs>
  <cellXfs count="6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2" fillId="2" borderId="9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1" xfId="0" applyFill="1" applyBorder="1" applyAlignment="1">
      <alignment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2" fillId="5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5" fillId="3" borderId="3" xfId="0" applyFont="1" applyFill="1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/>
    </xf>
    <xf numFmtId="49" fontId="11" fillId="6" borderId="16" xfId="1" applyNumberFormat="1" applyFont="1" applyFill="1" applyBorder="1" applyAlignment="1" applyProtection="1">
      <alignment horizontal="right"/>
    </xf>
    <xf numFmtId="3" fontId="9" fillId="7" borderId="16" xfId="1" applyNumberFormat="1" applyFont="1" applyFill="1" applyBorder="1" applyProtection="1"/>
    <xf numFmtId="0" fontId="0" fillId="0" borderId="16" xfId="0" applyBorder="1"/>
    <xf numFmtId="0" fontId="12" fillId="0" borderId="16" xfId="0" applyFont="1" applyBorder="1"/>
    <xf numFmtId="0" fontId="0" fillId="0" borderId="0" xfId="0" applyAlignment="1">
      <alignment horizontal="center"/>
    </xf>
    <xf numFmtId="0" fontId="0" fillId="0" borderId="12" xfId="0" applyBorder="1"/>
    <xf numFmtId="0" fontId="2" fillId="4" borderId="15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</cellXfs>
  <cellStyles count="5">
    <cellStyle name="Millares 2" xfId="2" xr:uid="{838FA037-C6EF-410D-9BC3-CAB1DF6A7F3F}"/>
    <cellStyle name="Millares 3" xfId="1" xr:uid="{57DBE083-7AF1-4DB5-BD6C-724245592A8B}"/>
    <cellStyle name="Normal" xfId="0" builtinId="0"/>
    <cellStyle name="Normal 10" xfId="3" xr:uid="{03B7E0C3-6370-46FA-A0AE-F64014FD3E3F}"/>
    <cellStyle name="Normal 2" xfId="4" xr:uid="{8954DD32-94BC-4DAB-9269-2AC6628946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HISTOGRAMA</a:t>
            </a:r>
            <a:r>
              <a:rPr lang="es-BO" baseline="0"/>
              <a:t> Y POLIGONO DE FRECUENCIAS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HISTOGRAMA DE FRECUENCIA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tablas!$F$20:$F$26</c:f>
              <c:numCache>
                <c:formatCode>General</c:formatCode>
                <c:ptCount val="7"/>
                <c:pt idx="0">
                  <c:v>20</c:v>
                </c:pt>
                <c:pt idx="1">
                  <c:v>24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40</c:v>
                </c:pt>
                <c:pt idx="6">
                  <c:v>44</c:v>
                </c:pt>
              </c:numCache>
            </c:numRef>
          </c:cat>
          <c:val>
            <c:numRef>
              <c:f>tablas!$G$20:$G$26</c:f>
              <c:numCache>
                <c:formatCode>General</c:formatCode>
                <c:ptCount val="7"/>
                <c:pt idx="0">
                  <c:v>29</c:v>
                </c:pt>
                <c:pt idx="1">
                  <c:v>12</c:v>
                </c:pt>
                <c:pt idx="2">
                  <c:v>6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2-4D32-99AD-6C63B2F8DD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653113152"/>
        <c:axId val="1516830512"/>
      </c:barChart>
      <c:lineChart>
        <c:grouping val="standard"/>
        <c:varyColors val="0"/>
        <c:ser>
          <c:idx val="1"/>
          <c:order val="1"/>
          <c:tx>
            <c:v>POLIGONO DE FRECUENCIA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tablas!$G$20:$G$26</c:f>
              <c:numCache>
                <c:formatCode>General</c:formatCode>
                <c:ptCount val="7"/>
                <c:pt idx="0">
                  <c:v>29</c:v>
                </c:pt>
                <c:pt idx="1">
                  <c:v>12</c:v>
                </c:pt>
                <c:pt idx="2">
                  <c:v>6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C2-4D32-99AD-6C63B2F8DD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3113152"/>
        <c:axId val="1516830512"/>
      </c:lineChart>
      <c:catAx>
        <c:axId val="1653113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16830512"/>
        <c:crosses val="autoZero"/>
        <c:auto val="1"/>
        <c:lblAlgn val="ctr"/>
        <c:lblOffset val="100"/>
        <c:noMultiLvlLbl val="0"/>
      </c:catAx>
      <c:valAx>
        <c:axId val="151683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ALUMNOS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5311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OJIVAS MAYOR QUE MENOR 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MAYOR QUE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tablas!$F$20:$F$26</c:f>
              <c:numCache>
                <c:formatCode>General</c:formatCode>
                <c:ptCount val="7"/>
                <c:pt idx="0">
                  <c:v>20</c:v>
                </c:pt>
                <c:pt idx="1">
                  <c:v>24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40</c:v>
                </c:pt>
                <c:pt idx="6">
                  <c:v>44</c:v>
                </c:pt>
              </c:numCache>
            </c:numRef>
          </c:cat>
          <c:val>
            <c:numRef>
              <c:f>tablas!$M$20:$M$26</c:f>
              <c:numCache>
                <c:formatCode>General</c:formatCode>
                <c:ptCount val="7"/>
                <c:pt idx="0">
                  <c:v>50</c:v>
                </c:pt>
                <c:pt idx="1">
                  <c:v>21</c:v>
                </c:pt>
                <c:pt idx="2">
                  <c:v>9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F-42B7-9187-130807D98149}"/>
            </c:ext>
          </c:extLst>
        </c:ser>
        <c:ser>
          <c:idx val="1"/>
          <c:order val="1"/>
          <c:tx>
            <c:v>MENOR QUE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tablas!$J$20:$J$26</c:f>
              <c:numCache>
                <c:formatCode>General</c:formatCode>
                <c:ptCount val="7"/>
                <c:pt idx="0">
                  <c:v>29</c:v>
                </c:pt>
                <c:pt idx="1">
                  <c:v>41</c:v>
                </c:pt>
                <c:pt idx="2">
                  <c:v>47</c:v>
                </c:pt>
                <c:pt idx="3">
                  <c:v>47</c:v>
                </c:pt>
                <c:pt idx="4">
                  <c:v>48</c:v>
                </c:pt>
                <c:pt idx="5">
                  <c:v>49</c:v>
                </c:pt>
                <c:pt idx="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F-42B7-9187-130807D981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20706608"/>
        <c:axId val="1490824240"/>
      </c:lineChart>
      <c:catAx>
        <c:axId val="1520706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90824240"/>
        <c:crosses val="autoZero"/>
        <c:auto val="1"/>
        <c:lblAlgn val="ctr"/>
        <c:lblOffset val="100"/>
        <c:noMultiLvlLbl val="0"/>
      </c:catAx>
      <c:valAx>
        <c:axId val="1490824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2070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1931714785651794"/>
          <c:y val="0.17374999999999999"/>
          <c:w val="0.84734951881014875"/>
          <c:h val="0.51116469816272969"/>
        </c:manualLayout>
      </c:layout>
      <c:barChart>
        <c:barDir val="col"/>
        <c:grouping val="clustered"/>
        <c:varyColors val="0"/>
        <c:ser>
          <c:idx val="0"/>
          <c:order val="0"/>
          <c:tx>
            <c:v>GENEROS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tablas!$F$66:$F$69</c:f>
              <c:numCache>
                <c:formatCode>General</c:formatCode>
                <c:ptCount val="4"/>
                <c:pt idx="0">
                  <c:v>62</c:v>
                </c:pt>
                <c:pt idx="1">
                  <c:v>36</c:v>
                </c:pt>
                <c:pt idx="2">
                  <c:v>2</c:v>
                </c:pt>
                <c:pt idx="3">
                  <c:v>1</c:v>
                </c:pt>
              </c:numCache>
            </c:numRef>
          </c:cat>
          <c:val>
            <c:numRef>
              <c:f>tablas!$D$66:$D$68</c:f>
              <c:numCache>
                <c:formatCode>General</c:formatCode>
                <c:ptCount val="3"/>
                <c:pt idx="0">
                  <c:v>31</c:v>
                </c:pt>
                <c:pt idx="1">
                  <c:v>18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9-4790-A562-00B84AF93A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12733343"/>
        <c:axId val="1156583087"/>
      </c:barChart>
      <c:catAx>
        <c:axId val="141273334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56583087"/>
        <c:crosses val="autoZero"/>
        <c:auto val="1"/>
        <c:lblAlgn val="ctr"/>
        <c:lblOffset val="100"/>
        <c:noMultiLvlLbl val="0"/>
      </c:catAx>
      <c:valAx>
        <c:axId val="115658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1273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9721259842519681"/>
          <c:y val="0.15060185185185185"/>
          <c:w val="0.77223184601924755"/>
          <c:h val="0.38440361621463981"/>
        </c:manualLayout>
      </c:layout>
      <c:barChart>
        <c:barDir val="col"/>
        <c:grouping val="clustered"/>
        <c:varyColors val="0"/>
        <c:ser>
          <c:idx val="0"/>
          <c:order val="0"/>
          <c:tx>
            <c:v>CARRERAS UPDS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tablas!$B$91:$B$103</c:f>
              <c:strCache>
                <c:ptCount val="13"/>
                <c:pt idx="0">
                  <c:v>Administracion de Empresas</c:v>
                </c:pt>
                <c:pt idx="1">
                  <c:v>Contaduria Publica</c:v>
                </c:pt>
                <c:pt idx="2">
                  <c:v>Derecho</c:v>
                </c:pt>
                <c:pt idx="3">
                  <c:v>Ingenieria Comercial</c:v>
                </c:pt>
                <c:pt idx="4">
                  <c:v>Ingenieria en Redes y Telecomunicaciones</c:v>
                </c:pt>
                <c:pt idx="5">
                  <c:v>Ingenieria en Sistemas</c:v>
                </c:pt>
                <c:pt idx="6">
                  <c:v>Ingenieria Industrial</c:v>
                </c:pt>
                <c:pt idx="7">
                  <c:v>medicina</c:v>
                </c:pt>
                <c:pt idx="8">
                  <c:v>Marketing y Publicidad</c:v>
                </c:pt>
                <c:pt idx="9">
                  <c:v>comunicación social</c:v>
                </c:pt>
                <c:pt idx="10">
                  <c:v>ingenieria en gestion petrolera</c:v>
                </c:pt>
                <c:pt idx="11">
                  <c:v>Psicologia</c:v>
                </c:pt>
                <c:pt idx="12">
                  <c:v>Psicopedagogia</c:v>
                </c:pt>
              </c:strCache>
            </c:strRef>
          </c:cat>
          <c:val>
            <c:numRef>
              <c:f>tablas!$D$91:$D$103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29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AA-4D46-9020-C1FF78688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61253631"/>
        <c:axId val="1537108527"/>
      </c:barChart>
      <c:catAx>
        <c:axId val="146125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37108527"/>
        <c:crosses val="autoZero"/>
        <c:auto val="1"/>
        <c:lblAlgn val="ctr"/>
        <c:lblOffset val="100"/>
        <c:noMultiLvlLbl val="0"/>
      </c:catAx>
      <c:valAx>
        <c:axId val="153710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6125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3461799648911932"/>
          <c:y val="0.23517561867086778"/>
          <c:w val="0.86442929292929294"/>
          <c:h val="0.59691881232797395"/>
        </c:manualLayout>
      </c:layout>
      <c:barChart>
        <c:barDir val="col"/>
        <c:grouping val="clustered"/>
        <c:varyColors val="0"/>
        <c:ser>
          <c:idx val="1"/>
          <c:order val="0"/>
          <c:tx>
            <c:v>SI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Hoja2!$F$13:$F$19</c:f>
              <c:strCache>
                <c:ptCount val="7"/>
                <c:pt idx="0">
                  <c:v>18-22</c:v>
                </c:pt>
                <c:pt idx="1">
                  <c:v>22-26</c:v>
                </c:pt>
                <c:pt idx="2">
                  <c:v>26-30</c:v>
                </c:pt>
                <c:pt idx="3">
                  <c:v>30-34</c:v>
                </c:pt>
                <c:pt idx="4">
                  <c:v>34-38</c:v>
                </c:pt>
                <c:pt idx="5">
                  <c:v>38-42</c:v>
                </c:pt>
                <c:pt idx="6">
                  <c:v>42-46</c:v>
                </c:pt>
              </c:strCache>
            </c:strRef>
          </c:cat>
          <c:val>
            <c:numRef>
              <c:f>Hoja2!$H$5:$H$11</c:f>
              <c:numCache>
                <c:formatCode>General</c:formatCode>
                <c:ptCount val="7"/>
                <c:pt idx="0">
                  <c:v>8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B-4ED9-8DF6-115003F8EAC8}"/>
            </c:ext>
          </c:extLst>
        </c:ser>
        <c:ser>
          <c:idx val="2"/>
          <c:order val="1"/>
          <c:tx>
            <c:v>NO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Hoja2!$F$13:$F$19</c:f>
              <c:strCache>
                <c:ptCount val="7"/>
                <c:pt idx="0">
                  <c:v>18-22</c:v>
                </c:pt>
                <c:pt idx="1">
                  <c:v>22-26</c:v>
                </c:pt>
                <c:pt idx="2">
                  <c:v>26-30</c:v>
                </c:pt>
                <c:pt idx="3">
                  <c:v>30-34</c:v>
                </c:pt>
                <c:pt idx="4">
                  <c:v>34-38</c:v>
                </c:pt>
                <c:pt idx="5">
                  <c:v>38-42</c:v>
                </c:pt>
                <c:pt idx="6">
                  <c:v>42-46</c:v>
                </c:pt>
              </c:strCache>
            </c:strRef>
          </c:cat>
          <c:val>
            <c:numRef>
              <c:f>Hoja2!$I$5:$I$11</c:f>
              <c:numCache>
                <c:formatCode>General</c:formatCode>
                <c:ptCount val="7"/>
                <c:pt idx="0">
                  <c:v>22</c:v>
                </c:pt>
                <c:pt idx="1">
                  <c:v>11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CB-4ED9-8DF6-115003F8E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09269440"/>
        <c:axId val="1255281632"/>
      </c:barChart>
      <c:catAx>
        <c:axId val="110926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5281632"/>
        <c:crosses val="autoZero"/>
        <c:auto val="1"/>
        <c:lblAlgn val="ctr"/>
        <c:lblOffset val="100"/>
        <c:noMultiLvlLbl val="0"/>
      </c:catAx>
      <c:valAx>
        <c:axId val="125528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Has cambiado de carrera alguna vez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09269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Hoja2!$D$4</c:f>
              <c:strCache>
                <c:ptCount val="1"/>
                <c:pt idx="0">
                  <c:v>edad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Hoja2!$B$5:$D$42</c:f>
              <c:multiLvlStrCache>
                <c:ptCount val="38"/>
                <c:lvl>
                  <c:pt idx="0">
                    <c:v>22</c:v>
                  </c:pt>
                  <c:pt idx="1">
                    <c:v>19</c:v>
                  </c:pt>
                  <c:pt idx="2">
                    <c:v>21</c:v>
                  </c:pt>
                  <c:pt idx="3">
                    <c:v>41</c:v>
                  </c:pt>
                  <c:pt idx="4">
                    <c:v>20</c:v>
                  </c:pt>
                  <c:pt idx="5">
                    <c:v>28</c:v>
                  </c:pt>
                  <c:pt idx="6">
                    <c:v>22</c:v>
                  </c:pt>
                  <c:pt idx="7">
                    <c:v>34</c:v>
                  </c:pt>
                  <c:pt idx="8">
                    <c:v>19</c:v>
                  </c:pt>
                  <c:pt idx="9">
                    <c:v>20</c:v>
                  </c:pt>
                  <c:pt idx="10">
                    <c:v>23</c:v>
                  </c:pt>
                  <c:pt idx="11">
                    <c:v>19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19</c:v>
                  </c:pt>
                  <c:pt idx="17">
                    <c:v>20</c:v>
                  </c:pt>
                  <c:pt idx="18">
                    <c:v>23</c:v>
                  </c:pt>
                  <c:pt idx="19">
                    <c:v>20</c:v>
                  </c:pt>
                  <c:pt idx="20">
                    <c:v>19</c:v>
                  </c:pt>
                  <c:pt idx="21">
                    <c:v>19</c:v>
                  </c:pt>
                  <c:pt idx="22">
                    <c:v>21</c:v>
                  </c:pt>
                  <c:pt idx="23">
                    <c:v>23</c:v>
                  </c:pt>
                  <c:pt idx="24">
                    <c:v>26</c:v>
                  </c:pt>
                  <c:pt idx="25">
                    <c:v>18</c:v>
                  </c:pt>
                  <c:pt idx="26">
                    <c:v>19</c:v>
                  </c:pt>
                  <c:pt idx="27">
                    <c:v>19</c:v>
                  </c:pt>
                  <c:pt idx="28">
                    <c:v>20</c:v>
                  </c:pt>
                  <c:pt idx="29">
                    <c:v>19</c:v>
                  </c:pt>
                  <c:pt idx="30">
                    <c:v>23</c:v>
                  </c:pt>
                  <c:pt idx="31">
                    <c:v>42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19</c:v>
                  </c:pt>
                  <c:pt idx="35">
                    <c:v>21</c:v>
                  </c:pt>
                  <c:pt idx="36">
                    <c:v>24</c:v>
                  </c:pt>
                  <c:pt idx="37">
                    <c:v>22</c:v>
                  </c:pt>
                </c:lvl>
                <c:lvl>
                  <c:pt idx="0">
                    <c:v>24</c:v>
                  </c:pt>
                  <c:pt idx="1">
                    <c:v>21</c:v>
                  </c:pt>
                  <c:pt idx="2">
                    <c:v>21</c:v>
                  </c:pt>
                  <c:pt idx="3">
                    <c:v>27</c:v>
                  </c:pt>
                  <c:pt idx="4">
                    <c:v>27</c:v>
                  </c:pt>
                  <c:pt idx="5">
                    <c:v>28</c:v>
                  </c:pt>
                  <c:pt idx="6">
                    <c:v>21</c:v>
                  </c:pt>
                  <c:pt idx="7">
                    <c:v>27</c:v>
                  </c:pt>
                  <c:pt idx="8">
                    <c:v>19</c:v>
                  </c:pt>
                  <c:pt idx="9">
                    <c:v>21</c:v>
                  </c:pt>
                  <c:pt idx="10">
                    <c:v>20</c:v>
                  </c:pt>
                  <c:pt idx="11">
                    <c:v>20</c:v>
                  </c:pt>
                </c:lvl>
              </c:multiLvlStrCache>
            </c:multiLvlStrRef>
          </c:cat>
          <c:val>
            <c:numRef>
              <c:f>Hoja2!$B$5:$B$16</c:f>
              <c:numCache>
                <c:formatCode>General</c:formatCode>
                <c:ptCount val="12"/>
                <c:pt idx="0">
                  <c:v>24</c:v>
                </c:pt>
                <c:pt idx="1">
                  <c:v>21</c:v>
                </c:pt>
                <c:pt idx="2">
                  <c:v>21</c:v>
                </c:pt>
                <c:pt idx="3">
                  <c:v>27</c:v>
                </c:pt>
                <c:pt idx="4">
                  <c:v>27</c:v>
                </c:pt>
                <c:pt idx="5">
                  <c:v>28</c:v>
                </c:pt>
                <c:pt idx="6">
                  <c:v>21</c:v>
                </c:pt>
                <c:pt idx="7">
                  <c:v>27</c:v>
                </c:pt>
                <c:pt idx="8">
                  <c:v>19</c:v>
                </c:pt>
                <c:pt idx="9">
                  <c:v>21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3-4EF7-A379-A947C468CD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58396144"/>
        <c:axId val="1176696144"/>
      </c:barChart>
      <c:catAx>
        <c:axId val="12583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76696144"/>
        <c:crosses val="autoZero"/>
        <c:auto val="1"/>
        <c:lblAlgn val="ctr"/>
        <c:lblOffset val="100"/>
        <c:noMultiLvlLbl val="0"/>
      </c:catAx>
      <c:valAx>
        <c:axId val="1176696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839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1952528411309518"/>
          <c:y val="0.13463418080042189"/>
          <c:w val="0.86442929292929294"/>
          <c:h val="0.59691881232797395"/>
        </c:manualLayout>
      </c:layout>
      <c:barChart>
        <c:barDir val="col"/>
        <c:grouping val="clustered"/>
        <c:varyColors val="0"/>
        <c:ser>
          <c:idx val="1"/>
          <c:order val="0"/>
          <c:tx>
            <c:v>SI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Hoja2!$F$13:$F$19</c:f>
              <c:strCache>
                <c:ptCount val="7"/>
                <c:pt idx="0">
                  <c:v>18-22</c:v>
                </c:pt>
                <c:pt idx="1">
                  <c:v>22-26</c:v>
                </c:pt>
                <c:pt idx="2">
                  <c:v>26-30</c:v>
                </c:pt>
                <c:pt idx="3">
                  <c:v>30-34</c:v>
                </c:pt>
                <c:pt idx="4">
                  <c:v>34-38</c:v>
                </c:pt>
                <c:pt idx="5">
                  <c:v>38-42</c:v>
                </c:pt>
                <c:pt idx="6">
                  <c:v>42-46</c:v>
                </c:pt>
              </c:strCache>
            </c:strRef>
          </c:cat>
          <c:val>
            <c:numRef>
              <c:f>Hoja2!$H$5:$H$11</c:f>
              <c:numCache>
                <c:formatCode>General</c:formatCode>
                <c:ptCount val="7"/>
                <c:pt idx="0">
                  <c:v>8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5B-4FBC-BBB3-D3BA2EAEE943}"/>
            </c:ext>
          </c:extLst>
        </c:ser>
        <c:ser>
          <c:idx val="2"/>
          <c:order val="1"/>
          <c:tx>
            <c:v>NO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Hoja2!$F$13:$F$19</c:f>
              <c:strCache>
                <c:ptCount val="7"/>
                <c:pt idx="0">
                  <c:v>18-22</c:v>
                </c:pt>
                <c:pt idx="1">
                  <c:v>22-26</c:v>
                </c:pt>
                <c:pt idx="2">
                  <c:v>26-30</c:v>
                </c:pt>
                <c:pt idx="3">
                  <c:v>30-34</c:v>
                </c:pt>
                <c:pt idx="4">
                  <c:v>34-38</c:v>
                </c:pt>
                <c:pt idx="5">
                  <c:v>38-42</c:v>
                </c:pt>
                <c:pt idx="6">
                  <c:v>42-46</c:v>
                </c:pt>
              </c:strCache>
            </c:strRef>
          </c:cat>
          <c:val>
            <c:numRef>
              <c:f>Hoja2!$I$5:$I$11</c:f>
              <c:numCache>
                <c:formatCode>General</c:formatCode>
                <c:ptCount val="7"/>
                <c:pt idx="0">
                  <c:v>22</c:v>
                </c:pt>
                <c:pt idx="1">
                  <c:v>11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5B-4FBC-BBB3-D3BA2EAEE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09269440"/>
        <c:axId val="1255281632"/>
      </c:barChart>
      <c:catAx>
        <c:axId val="110926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5281632"/>
        <c:crosses val="autoZero"/>
        <c:auto val="1"/>
        <c:lblAlgn val="ctr"/>
        <c:lblOffset val="100"/>
        <c:noMultiLvlLbl val="0"/>
      </c:catAx>
      <c:valAx>
        <c:axId val="125528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Has cambiado de carrera alguna vez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09269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29</xdr:row>
      <xdr:rowOff>91440</xdr:rowOff>
    </xdr:from>
    <xdr:to>
      <xdr:col>15</xdr:col>
      <xdr:colOff>99060</xdr:colOff>
      <xdr:row>48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F2DFDC-AFB7-4F35-BA65-C302C1206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7620</xdr:colOff>
      <xdr:row>29</xdr:row>
      <xdr:rowOff>83820</xdr:rowOff>
    </xdr:from>
    <xdr:to>
      <xdr:col>8</xdr:col>
      <xdr:colOff>617220</xdr:colOff>
      <xdr:row>48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B01728-B77B-4772-B33B-53791E63C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259080</xdr:colOff>
      <xdr:row>56</xdr:row>
      <xdr:rowOff>68580</xdr:rowOff>
    </xdr:from>
    <xdr:to>
      <xdr:col>18</xdr:col>
      <xdr:colOff>76200</xdr:colOff>
      <xdr:row>70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C199394-CB35-4A16-B596-063E2E41A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129540</xdr:colOff>
      <xdr:row>122</xdr:row>
      <xdr:rowOff>45720</xdr:rowOff>
    </xdr:from>
    <xdr:to>
      <xdr:col>17</xdr:col>
      <xdr:colOff>739140</xdr:colOff>
      <xdr:row>130</xdr:row>
      <xdr:rowOff>289560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149444E-F722-481D-AD3B-9F819BFBF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739140</xdr:colOff>
      <xdr:row>202</xdr:row>
      <xdr:rowOff>99060</xdr:rowOff>
    </xdr:from>
    <xdr:to>
      <xdr:col>15</xdr:col>
      <xdr:colOff>541020</xdr:colOff>
      <xdr:row>219</xdr:row>
      <xdr:rowOff>30478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AFCCD42-B9AC-4422-9274-2419782E5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289560</xdr:colOff>
      <xdr:row>16</xdr:row>
      <xdr:rowOff>167640</xdr:rowOff>
    </xdr:from>
    <xdr:to>
      <xdr:col>15</xdr:col>
      <xdr:colOff>106680</xdr:colOff>
      <xdr:row>31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7BD12E-0148-4E82-AD49-A8A0D8616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99060</xdr:colOff>
      <xdr:row>1</xdr:row>
      <xdr:rowOff>0</xdr:rowOff>
    </xdr:from>
    <xdr:to>
      <xdr:col>17</xdr:col>
      <xdr:colOff>441960</xdr:colOff>
      <xdr:row>18</xdr:row>
      <xdr:rowOff>76198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29B46F-EE5A-401D-899A-A0C2A80B1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4</xdr:col>
      <xdr:colOff>312259</xdr:colOff>
      <xdr:row>27</xdr:row>
      <xdr:rowOff>162773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508EA2-73A3-4951-A0B4-5DCB60E11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4404360"/>
          <a:ext cx="3253579" cy="7114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3</xdr:col>
      <xdr:colOff>731326</xdr:colOff>
      <xdr:row>39</xdr:row>
      <xdr:rowOff>716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85A372-CB91-4CBC-9650-78A6EAACC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" y="6416040"/>
          <a:ext cx="2872546" cy="732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F5BA-BDC7-4E71-92E3-B54292CCD8B9}">
  <dimension ref="A2:P246"/>
  <sheetViews>
    <sheetView topLeftCell="A86" zoomScale="83" zoomScaleNormal="83" workbookViewId="0">
      <selection activeCell="E107" sqref="E107"/>
    </sheetView>
  </sheetViews>
  <sheetFormatPr baseColWidth="10" defaultRowHeight="14.4" x14ac:dyDescent="0.3"/>
  <sheetData>
    <row r="2" spans="2:15" x14ac:dyDescent="0.3">
      <c r="B2" t="s">
        <v>0</v>
      </c>
    </row>
    <row r="4" spans="2:15" x14ac:dyDescent="0.3">
      <c r="C4" s="39">
        <v>22</v>
      </c>
      <c r="D4" s="39">
        <v>23</v>
      </c>
      <c r="E4" s="39">
        <v>19</v>
      </c>
      <c r="F4" s="39">
        <v>27</v>
      </c>
      <c r="G4" s="39">
        <v>19</v>
      </c>
      <c r="I4" t="s">
        <v>216</v>
      </c>
      <c r="J4" s="40">
        <v>25</v>
      </c>
    </row>
    <row r="5" spans="2:15" x14ac:dyDescent="0.3">
      <c r="B5" t="s">
        <v>138</v>
      </c>
      <c r="C5" s="39">
        <v>21</v>
      </c>
      <c r="D5" s="39">
        <v>20</v>
      </c>
      <c r="E5" s="39">
        <v>20</v>
      </c>
      <c r="F5" s="39">
        <v>41</v>
      </c>
      <c r="G5" s="39">
        <v>19</v>
      </c>
      <c r="I5" t="s">
        <v>214</v>
      </c>
      <c r="J5" s="40">
        <v>7</v>
      </c>
    </row>
    <row r="6" spans="2:15" x14ac:dyDescent="0.3">
      <c r="B6" t="s">
        <v>138</v>
      </c>
      <c r="C6" s="39">
        <v>21</v>
      </c>
      <c r="D6" s="39">
        <v>18</v>
      </c>
      <c r="E6" s="39">
        <v>24</v>
      </c>
      <c r="F6" s="39">
        <v>19</v>
      </c>
      <c r="G6" s="39">
        <v>22</v>
      </c>
      <c r="I6" t="s">
        <v>215</v>
      </c>
      <c r="J6" s="40">
        <v>4</v>
      </c>
    </row>
    <row r="7" spans="2:15" x14ac:dyDescent="0.3">
      <c r="B7" t="s">
        <v>138</v>
      </c>
      <c r="C7" s="39">
        <v>34</v>
      </c>
      <c r="D7" s="39">
        <v>21</v>
      </c>
      <c r="E7" s="39">
        <v>42</v>
      </c>
      <c r="F7" s="39">
        <v>22</v>
      </c>
      <c r="G7" s="39">
        <v>20</v>
      </c>
    </row>
    <row r="8" spans="2:15" x14ac:dyDescent="0.3">
      <c r="B8" t="s">
        <v>138</v>
      </c>
      <c r="C8" s="39">
        <v>20</v>
      </c>
      <c r="D8" s="39">
        <v>27</v>
      </c>
      <c r="E8" s="39">
        <v>28</v>
      </c>
      <c r="F8" s="39">
        <v>20</v>
      </c>
      <c r="G8" s="39">
        <v>19</v>
      </c>
    </row>
    <row r="9" spans="2:15" x14ac:dyDescent="0.3">
      <c r="B9" t="s">
        <v>138</v>
      </c>
      <c r="C9" s="39">
        <v>22</v>
      </c>
      <c r="D9" s="39">
        <v>22</v>
      </c>
      <c r="E9" s="39">
        <v>19</v>
      </c>
      <c r="F9" s="39">
        <v>23</v>
      </c>
      <c r="G9" s="39">
        <v>20</v>
      </c>
    </row>
    <row r="10" spans="2:15" x14ac:dyDescent="0.3">
      <c r="B10" t="s">
        <v>138</v>
      </c>
      <c r="C10" s="39">
        <v>22</v>
      </c>
      <c r="D10" s="39">
        <v>21</v>
      </c>
      <c r="E10" s="39">
        <v>19</v>
      </c>
      <c r="F10" s="39">
        <v>21</v>
      </c>
      <c r="G10" s="39">
        <v>19</v>
      </c>
    </row>
    <row r="11" spans="2:15" x14ac:dyDescent="0.3">
      <c r="B11" t="s">
        <v>138</v>
      </c>
      <c r="C11" s="39">
        <v>24</v>
      </c>
      <c r="D11" s="39">
        <v>27</v>
      </c>
      <c r="E11" s="39">
        <v>19</v>
      </c>
      <c r="F11" s="39">
        <v>23</v>
      </c>
      <c r="G11" s="39">
        <v>23</v>
      </c>
    </row>
    <row r="12" spans="2:15" x14ac:dyDescent="0.3">
      <c r="B12" t="s">
        <v>138</v>
      </c>
      <c r="C12" s="39">
        <v>20</v>
      </c>
      <c r="D12" s="39">
        <v>28</v>
      </c>
      <c r="E12" s="39">
        <v>21</v>
      </c>
      <c r="F12" s="39">
        <v>21</v>
      </c>
      <c r="G12" s="39">
        <v>26</v>
      </c>
    </row>
    <row r="13" spans="2:15" x14ac:dyDescent="0.3">
      <c r="B13" t="s">
        <v>138</v>
      </c>
      <c r="C13" s="39">
        <v>19</v>
      </c>
      <c r="D13" s="39">
        <v>19</v>
      </c>
      <c r="E13" s="39">
        <v>21</v>
      </c>
      <c r="F13" s="39">
        <v>20</v>
      </c>
      <c r="G13" s="39">
        <v>19</v>
      </c>
    </row>
    <row r="15" spans="2:15" ht="15" thickBot="1" x14ac:dyDescent="0.35"/>
    <row r="16" spans="2:15" ht="15" thickBot="1" x14ac:dyDescent="0.35">
      <c r="B16" s="11">
        <v>1</v>
      </c>
      <c r="C16" s="12"/>
      <c r="D16" s="12">
        <v>2</v>
      </c>
      <c r="E16" s="13">
        <v>4</v>
      </c>
      <c r="F16" s="13">
        <v>5</v>
      </c>
      <c r="G16" s="13">
        <v>6</v>
      </c>
      <c r="H16" s="13">
        <v>7</v>
      </c>
      <c r="I16" s="13">
        <v>8</v>
      </c>
      <c r="J16" s="14">
        <v>9</v>
      </c>
      <c r="K16" s="14">
        <v>10</v>
      </c>
      <c r="L16" s="14">
        <v>11</v>
      </c>
      <c r="M16" s="14">
        <v>12</v>
      </c>
      <c r="N16" s="14">
        <v>13</v>
      </c>
      <c r="O16" s="14">
        <v>14</v>
      </c>
    </row>
    <row r="17" spans="2:16" ht="15" thickBot="1" x14ac:dyDescent="0.35">
      <c r="B17" s="4"/>
      <c r="C17" s="5"/>
      <c r="D17" s="5" t="s">
        <v>137</v>
      </c>
      <c r="E17" s="6" t="s">
        <v>137</v>
      </c>
      <c r="F17" s="6" t="s">
        <v>138</v>
      </c>
      <c r="G17" s="6" t="s">
        <v>137</v>
      </c>
      <c r="H17" s="6" t="s">
        <v>138</v>
      </c>
      <c r="I17" s="7" t="s">
        <v>138</v>
      </c>
      <c r="J17" s="41" t="s">
        <v>139</v>
      </c>
      <c r="K17" s="41"/>
      <c r="L17" s="42"/>
      <c r="M17" s="43" t="s">
        <v>140</v>
      </c>
      <c r="N17" s="41"/>
      <c r="O17" s="42"/>
    </row>
    <row r="18" spans="2:16" ht="29.4" thickBot="1" x14ac:dyDescent="0.35">
      <c r="B18" s="15" t="s">
        <v>141</v>
      </c>
      <c r="C18" s="44" t="s">
        <v>142</v>
      </c>
      <c r="D18" s="45"/>
      <c r="E18" s="16" t="s">
        <v>152</v>
      </c>
      <c r="F18" s="16" t="s">
        <v>143</v>
      </c>
      <c r="G18" s="17" t="s">
        <v>145</v>
      </c>
      <c r="H18" s="18" t="s">
        <v>146</v>
      </c>
      <c r="I18" s="19" t="s">
        <v>149</v>
      </c>
      <c r="J18" s="17" t="s">
        <v>145</v>
      </c>
      <c r="K18" s="18" t="s">
        <v>146</v>
      </c>
      <c r="L18" s="19" t="s">
        <v>149</v>
      </c>
      <c r="M18" s="17" t="s">
        <v>145</v>
      </c>
      <c r="N18" s="18" t="s">
        <v>146</v>
      </c>
      <c r="O18" s="19" t="s">
        <v>149</v>
      </c>
      <c r="P18" t="s">
        <v>165</v>
      </c>
    </row>
    <row r="19" spans="2:16" ht="15" thickBot="1" x14ac:dyDescent="0.35">
      <c r="B19" s="20" t="s">
        <v>163</v>
      </c>
      <c r="C19" s="22" t="s">
        <v>167</v>
      </c>
      <c r="D19" s="21" t="s">
        <v>168</v>
      </c>
      <c r="E19" s="21" t="s">
        <v>151</v>
      </c>
      <c r="F19" s="21" t="s">
        <v>144</v>
      </c>
      <c r="G19" s="21" t="s">
        <v>147</v>
      </c>
      <c r="H19" s="21" t="s">
        <v>148</v>
      </c>
      <c r="I19" s="21" t="s">
        <v>150</v>
      </c>
      <c r="J19" s="21" t="s">
        <v>153</v>
      </c>
      <c r="K19" s="21" t="s">
        <v>154</v>
      </c>
      <c r="L19" s="21" t="s">
        <v>155</v>
      </c>
      <c r="M19" s="21" t="s">
        <v>156</v>
      </c>
      <c r="N19" s="21" t="s">
        <v>157</v>
      </c>
      <c r="O19" s="21" t="s">
        <v>158</v>
      </c>
    </row>
    <row r="20" spans="2:16" ht="15" thickBot="1" x14ac:dyDescent="0.35">
      <c r="B20" s="3">
        <v>1</v>
      </c>
      <c r="C20" s="1">
        <v>18</v>
      </c>
      <c r="D20" s="1">
        <v>22</v>
      </c>
      <c r="E20" s="1" t="s">
        <v>159</v>
      </c>
      <c r="F20" s="1">
        <f>(18+22)/2</f>
        <v>20</v>
      </c>
      <c r="G20" s="1">
        <v>29</v>
      </c>
      <c r="H20" s="1">
        <f>G20/G27</f>
        <v>0.57999999999999996</v>
      </c>
      <c r="I20" s="1">
        <f>H20*100</f>
        <v>57.999999999999993</v>
      </c>
      <c r="J20" s="1">
        <f>G20</f>
        <v>29</v>
      </c>
      <c r="K20" s="1">
        <f>H20</f>
        <v>0.57999999999999996</v>
      </c>
      <c r="L20" s="1">
        <f>I20</f>
        <v>57.999999999999993</v>
      </c>
      <c r="M20" s="1">
        <f t="shared" ref="M20:O25" si="0">M21+G20</f>
        <v>50</v>
      </c>
      <c r="N20" s="1">
        <f t="shared" si="0"/>
        <v>1</v>
      </c>
      <c r="O20" s="1">
        <f t="shared" si="0"/>
        <v>100</v>
      </c>
      <c r="P20">
        <f>F20*G20</f>
        <v>580</v>
      </c>
    </row>
    <row r="21" spans="2:16" ht="15" thickBot="1" x14ac:dyDescent="0.35">
      <c r="B21" s="3">
        <v>2</v>
      </c>
      <c r="C21" s="1">
        <v>22</v>
      </c>
      <c r="D21" s="1">
        <v>26</v>
      </c>
      <c r="E21" s="1" t="s">
        <v>160</v>
      </c>
      <c r="F21" s="1">
        <f>(22+26)/2</f>
        <v>24</v>
      </c>
      <c r="G21" s="1">
        <v>12</v>
      </c>
      <c r="H21" s="1">
        <f>G21/G27</f>
        <v>0.24</v>
      </c>
      <c r="I21" s="1">
        <f t="shared" ref="I21:I26" si="1">H21*100</f>
        <v>24</v>
      </c>
      <c r="J21" s="1">
        <f t="shared" ref="J21:L26" si="2">J20+G21</f>
        <v>41</v>
      </c>
      <c r="K21" s="1">
        <f t="shared" si="2"/>
        <v>0.82</v>
      </c>
      <c r="L21" s="1">
        <f t="shared" si="2"/>
        <v>82</v>
      </c>
      <c r="M21" s="1">
        <f t="shared" si="0"/>
        <v>21</v>
      </c>
      <c r="N21" s="1">
        <f t="shared" si="0"/>
        <v>0.42</v>
      </c>
      <c r="O21" s="1">
        <f t="shared" si="0"/>
        <v>42</v>
      </c>
      <c r="P21">
        <f>F21*G21</f>
        <v>288</v>
      </c>
    </row>
    <row r="22" spans="2:16" ht="15" thickBot="1" x14ac:dyDescent="0.35">
      <c r="B22" s="3">
        <v>3</v>
      </c>
      <c r="C22" s="1">
        <v>26</v>
      </c>
      <c r="D22" s="1">
        <v>30</v>
      </c>
      <c r="E22" s="1" t="s">
        <v>161</v>
      </c>
      <c r="F22" s="1">
        <f>(26+30)/2</f>
        <v>28</v>
      </c>
      <c r="G22" s="1">
        <v>6</v>
      </c>
      <c r="H22" s="1">
        <f>G22/G27</f>
        <v>0.12</v>
      </c>
      <c r="I22" s="1">
        <f t="shared" si="1"/>
        <v>12</v>
      </c>
      <c r="J22" s="1">
        <f t="shared" si="2"/>
        <v>47</v>
      </c>
      <c r="K22" s="1">
        <f t="shared" si="2"/>
        <v>0.94</v>
      </c>
      <c r="L22" s="1">
        <f t="shared" si="2"/>
        <v>94</v>
      </c>
      <c r="M22" s="1">
        <f t="shared" si="0"/>
        <v>9</v>
      </c>
      <c r="N22" s="1">
        <f t="shared" si="0"/>
        <v>0.18</v>
      </c>
      <c r="O22" s="1">
        <f t="shared" si="0"/>
        <v>18</v>
      </c>
      <c r="P22">
        <f>F22*G22</f>
        <v>168</v>
      </c>
    </row>
    <row r="23" spans="2:16" ht="15" thickBot="1" x14ac:dyDescent="0.35">
      <c r="B23" s="62">
        <v>4</v>
      </c>
      <c r="C23" s="33">
        <v>30</v>
      </c>
      <c r="D23" s="33">
        <v>34</v>
      </c>
      <c r="E23" s="33" t="s">
        <v>137</v>
      </c>
      <c r="F23" s="33">
        <f>(30+34)/2</f>
        <v>32</v>
      </c>
      <c r="G23" s="33">
        <v>0</v>
      </c>
      <c r="H23" s="33">
        <f>G23/G27</f>
        <v>0</v>
      </c>
      <c r="I23" s="33">
        <f t="shared" si="1"/>
        <v>0</v>
      </c>
      <c r="J23" s="33">
        <f t="shared" si="2"/>
        <v>47</v>
      </c>
      <c r="K23" s="33">
        <f t="shared" si="2"/>
        <v>0.94</v>
      </c>
      <c r="L23" s="33">
        <f t="shared" si="2"/>
        <v>94</v>
      </c>
      <c r="M23" s="33">
        <f t="shared" si="0"/>
        <v>3</v>
      </c>
      <c r="N23" s="33">
        <f t="shared" si="0"/>
        <v>0.06</v>
      </c>
      <c r="O23" s="33">
        <f t="shared" si="0"/>
        <v>6</v>
      </c>
      <c r="P23">
        <f t="shared" ref="P23" si="3">F23*G23</f>
        <v>0</v>
      </c>
    </row>
    <row r="24" spans="2:16" ht="15" thickBot="1" x14ac:dyDescent="0.35">
      <c r="B24" s="3">
        <v>5</v>
      </c>
      <c r="C24" s="1">
        <v>34</v>
      </c>
      <c r="D24" s="1">
        <v>38</v>
      </c>
      <c r="E24" s="1" t="s">
        <v>162</v>
      </c>
      <c r="F24" s="1">
        <f>(34+38)/2</f>
        <v>36</v>
      </c>
      <c r="G24" s="1">
        <v>1</v>
      </c>
      <c r="H24" s="1">
        <f>G24/G27</f>
        <v>0.02</v>
      </c>
      <c r="I24" s="1">
        <f t="shared" si="1"/>
        <v>2</v>
      </c>
      <c r="J24" s="1">
        <f t="shared" si="2"/>
        <v>48</v>
      </c>
      <c r="K24" s="1">
        <f t="shared" si="2"/>
        <v>0.96</v>
      </c>
      <c r="L24" s="1">
        <f t="shared" si="2"/>
        <v>96</v>
      </c>
      <c r="M24" s="1">
        <f t="shared" si="0"/>
        <v>3</v>
      </c>
      <c r="N24" s="1">
        <f t="shared" si="0"/>
        <v>0.06</v>
      </c>
      <c r="O24" s="1">
        <f t="shared" si="0"/>
        <v>6</v>
      </c>
      <c r="P24">
        <f>F24*G24</f>
        <v>36</v>
      </c>
    </row>
    <row r="25" spans="2:16" ht="15" thickBot="1" x14ac:dyDescent="0.35">
      <c r="B25" s="3">
        <v>6</v>
      </c>
      <c r="C25" s="1">
        <v>38</v>
      </c>
      <c r="D25" s="1">
        <v>42</v>
      </c>
      <c r="E25" s="1" t="s">
        <v>162</v>
      </c>
      <c r="F25" s="1">
        <f>(38+42)/2</f>
        <v>40</v>
      </c>
      <c r="G25" s="1">
        <v>1</v>
      </c>
      <c r="H25" s="1">
        <f>G25/G27</f>
        <v>0.02</v>
      </c>
      <c r="I25" s="1">
        <f t="shared" si="1"/>
        <v>2</v>
      </c>
      <c r="J25" s="1">
        <f t="shared" si="2"/>
        <v>49</v>
      </c>
      <c r="K25" s="1">
        <f t="shared" si="2"/>
        <v>0.98</v>
      </c>
      <c r="L25" s="1">
        <f t="shared" si="2"/>
        <v>98</v>
      </c>
      <c r="M25" s="1">
        <f t="shared" si="0"/>
        <v>2</v>
      </c>
      <c r="N25" s="1">
        <f t="shared" si="0"/>
        <v>0.04</v>
      </c>
      <c r="O25" s="1">
        <f t="shared" si="0"/>
        <v>4</v>
      </c>
      <c r="P25">
        <f>F25*G25</f>
        <v>40</v>
      </c>
    </row>
    <row r="26" spans="2:16" ht="15" thickBot="1" x14ac:dyDescent="0.35">
      <c r="B26" s="3">
        <v>7</v>
      </c>
      <c r="C26" s="1">
        <v>42</v>
      </c>
      <c r="D26" s="1">
        <v>46</v>
      </c>
      <c r="E26" s="1" t="s">
        <v>162</v>
      </c>
      <c r="F26" s="1">
        <f>(42+46)/2</f>
        <v>44</v>
      </c>
      <c r="G26" s="2">
        <v>1</v>
      </c>
      <c r="H26" s="1">
        <f>G26/G27</f>
        <v>0.02</v>
      </c>
      <c r="I26" s="1">
        <f t="shared" si="1"/>
        <v>2</v>
      </c>
      <c r="J26" s="1">
        <f t="shared" si="2"/>
        <v>50</v>
      </c>
      <c r="K26" s="1">
        <f t="shared" si="2"/>
        <v>1</v>
      </c>
      <c r="L26" s="1">
        <f t="shared" si="2"/>
        <v>100</v>
      </c>
      <c r="M26" s="1">
        <f>G26</f>
        <v>1</v>
      </c>
      <c r="N26" s="1">
        <f>H26</f>
        <v>0.02</v>
      </c>
      <c r="O26" s="1">
        <f>I26</f>
        <v>2</v>
      </c>
      <c r="P26">
        <f>F26*G26</f>
        <v>44</v>
      </c>
    </row>
    <row r="27" spans="2:16" ht="15" thickBot="1" x14ac:dyDescent="0.35">
      <c r="G27" s="9">
        <f>SUM(G20:G26)</f>
        <v>50</v>
      </c>
      <c r="H27" s="10">
        <f>SUM(H20:H26)</f>
        <v>1</v>
      </c>
      <c r="I27" s="9">
        <f>SUM(I20:I26)</f>
        <v>100</v>
      </c>
    </row>
    <row r="28" spans="2:16" x14ac:dyDescent="0.3">
      <c r="G28" s="8"/>
    </row>
    <row r="51" spans="2:12" x14ac:dyDescent="0.3">
      <c r="B51" t="s">
        <v>164</v>
      </c>
      <c r="D51">
        <f>(SUM(P20:P26))/50</f>
        <v>23.12</v>
      </c>
      <c r="F51" t="s">
        <v>210</v>
      </c>
      <c r="G51" t="s">
        <v>211</v>
      </c>
    </row>
    <row r="53" spans="2:12" x14ac:dyDescent="0.3">
      <c r="B53" t="s">
        <v>166</v>
      </c>
      <c r="D53">
        <f>C23</f>
        <v>30</v>
      </c>
      <c r="F53" t="s">
        <v>212</v>
      </c>
      <c r="G53" t="s">
        <v>213</v>
      </c>
    </row>
    <row r="55" spans="2:12" x14ac:dyDescent="0.3">
      <c r="B55" t="s">
        <v>169</v>
      </c>
      <c r="D55">
        <f>C20+4*((G20)/((G20)+(G20-G21)))</f>
        <v>20.521739130434781</v>
      </c>
    </row>
    <row r="58" spans="2:12" x14ac:dyDescent="0.3">
      <c r="B58" t="s">
        <v>4</v>
      </c>
    </row>
    <row r="61" spans="2:12" ht="15" thickBot="1" x14ac:dyDescent="0.35"/>
    <row r="62" spans="2:12" ht="15" thickBot="1" x14ac:dyDescent="0.35">
      <c r="B62" s="11">
        <v>1</v>
      </c>
      <c r="C62" s="13">
        <v>4</v>
      </c>
      <c r="D62" s="13">
        <v>6</v>
      </c>
      <c r="E62" s="13">
        <v>7</v>
      </c>
      <c r="F62" s="13">
        <v>8</v>
      </c>
      <c r="G62" s="14">
        <v>9</v>
      </c>
      <c r="H62" s="14">
        <v>10</v>
      </c>
      <c r="I62" s="14">
        <v>11</v>
      </c>
      <c r="J62" s="14">
        <v>12</v>
      </c>
      <c r="K62" s="14">
        <v>13</v>
      </c>
      <c r="L62" s="14">
        <v>14</v>
      </c>
    </row>
    <row r="63" spans="2:12" ht="15" thickBot="1" x14ac:dyDescent="0.35">
      <c r="B63" s="4"/>
      <c r="C63" s="6" t="s">
        <v>137</v>
      </c>
      <c r="D63" s="6" t="s">
        <v>137</v>
      </c>
      <c r="E63" s="6" t="s">
        <v>138</v>
      </c>
      <c r="F63" s="7" t="s">
        <v>138</v>
      </c>
      <c r="G63" s="41" t="s">
        <v>139</v>
      </c>
      <c r="H63" s="41"/>
      <c r="I63" s="42"/>
      <c r="J63" s="43" t="s">
        <v>140</v>
      </c>
      <c r="K63" s="41"/>
      <c r="L63" s="42"/>
    </row>
    <row r="64" spans="2:12" ht="29.4" thickBot="1" x14ac:dyDescent="0.35">
      <c r="B64" s="15" t="s">
        <v>141</v>
      </c>
      <c r="C64" s="16" t="s">
        <v>152</v>
      </c>
      <c r="D64" s="17" t="s">
        <v>145</v>
      </c>
      <c r="E64" s="18" t="s">
        <v>146</v>
      </c>
      <c r="F64" s="19" t="s">
        <v>149</v>
      </c>
      <c r="G64" s="17" t="s">
        <v>145</v>
      </c>
      <c r="H64" s="18" t="s">
        <v>146</v>
      </c>
      <c r="I64" s="19" t="s">
        <v>149</v>
      </c>
      <c r="J64" s="17" t="s">
        <v>145</v>
      </c>
      <c r="K64" s="18" t="s">
        <v>146</v>
      </c>
      <c r="L64" s="19" t="s">
        <v>149</v>
      </c>
    </row>
    <row r="65" spans="2:12" ht="15" thickBot="1" x14ac:dyDescent="0.35">
      <c r="B65" s="20" t="s">
        <v>170</v>
      </c>
      <c r="C65" s="21" t="s">
        <v>151</v>
      </c>
      <c r="D65" s="21" t="s">
        <v>147</v>
      </c>
      <c r="E65" s="21" t="s">
        <v>148</v>
      </c>
      <c r="F65" s="21" t="s">
        <v>150</v>
      </c>
      <c r="G65" s="21" t="s">
        <v>153</v>
      </c>
      <c r="H65" s="21" t="s">
        <v>154</v>
      </c>
      <c r="I65" s="21" t="s">
        <v>155</v>
      </c>
      <c r="J65" s="21" t="s">
        <v>156</v>
      </c>
      <c r="K65" s="21" t="s">
        <v>157</v>
      </c>
      <c r="L65" s="21" t="s">
        <v>158</v>
      </c>
    </row>
    <row r="66" spans="2:12" ht="15" thickBot="1" x14ac:dyDescent="0.35">
      <c r="B66" s="3" t="s">
        <v>171</v>
      </c>
      <c r="C66" s="1" t="s">
        <v>159</v>
      </c>
      <c r="D66" s="1">
        <v>31</v>
      </c>
      <c r="E66" s="1">
        <f>D66/E69</f>
        <v>0.62</v>
      </c>
      <c r="F66" s="1">
        <f>E66*100</f>
        <v>62</v>
      </c>
      <c r="G66" s="1">
        <f>D66</f>
        <v>31</v>
      </c>
      <c r="H66" s="1">
        <f>E66</f>
        <v>0.62</v>
      </c>
      <c r="I66" s="1">
        <f>F66</f>
        <v>62</v>
      </c>
      <c r="J66" s="1">
        <f t="shared" ref="J66:J67" si="4">J67+D66</f>
        <v>50</v>
      </c>
      <c r="K66" s="1">
        <f t="shared" ref="K66:K67" si="5">K67+E66</f>
        <v>1</v>
      </c>
      <c r="L66" s="1">
        <f t="shared" ref="L66:L67" si="6">L67+F66</f>
        <v>100</v>
      </c>
    </row>
    <row r="67" spans="2:12" ht="15" thickBot="1" x14ac:dyDescent="0.35">
      <c r="B67" s="3" t="s">
        <v>172</v>
      </c>
      <c r="C67" s="1" t="s">
        <v>160</v>
      </c>
      <c r="D67" s="2">
        <v>18</v>
      </c>
      <c r="E67" s="1">
        <f>D67/E69</f>
        <v>0.36</v>
      </c>
      <c r="F67" s="1">
        <f t="shared" ref="F67:F68" si="7">E67*100</f>
        <v>36</v>
      </c>
      <c r="G67" s="1">
        <f t="shared" ref="G67:G68" si="8">G66+D67</f>
        <v>49</v>
      </c>
      <c r="H67" s="1">
        <f t="shared" ref="H67:H68" si="9">H66+E67</f>
        <v>0.98</v>
      </c>
      <c r="I67" s="1">
        <f t="shared" ref="I67:I68" si="10">I66+F67</f>
        <v>98</v>
      </c>
      <c r="J67" s="1">
        <f t="shared" si="4"/>
        <v>19</v>
      </c>
      <c r="K67" s="1">
        <f t="shared" si="5"/>
        <v>0.38</v>
      </c>
      <c r="L67" s="1">
        <f t="shared" si="6"/>
        <v>38</v>
      </c>
    </row>
    <row r="68" spans="2:12" ht="15" thickBot="1" x14ac:dyDescent="0.35">
      <c r="B68" s="3" t="s">
        <v>173</v>
      </c>
      <c r="C68" s="31" t="s">
        <v>161</v>
      </c>
      <c r="D68" s="28">
        <v>1</v>
      </c>
      <c r="E68" s="2">
        <f>D68/E69</f>
        <v>0.02</v>
      </c>
      <c r="F68" s="1">
        <f t="shared" si="7"/>
        <v>2</v>
      </c>
      <c r="G68" s="1">
        <f t="shared" si="8"/>
        <v>50</v>
      </c>
      <c r="H68" s="1">
        <f t="shared" si="9"/>
        <v>1</v>
      </c>
      <c r="I68" s="1">
        <f t="shared" si="10"/>
        <v>100</v>
      </c>
      <c r="J68" s="1">
        <f>K69+D68</f>
        <v>1</v>
      </c>
      <c r="K68" s="1">
        <f>L69+E68</f>
        <v>0.02</v>
      </c>
      <c r="L68" s="1">
        <f>M69+F68</f>
        <v>2</v>
      </c>
    </row>
    <row r="69" spans="2:12" ht="15" thickBot="1" x14ac:dyDescent="0.35">
      <c r="E69" s="10">
        <f>SUM(D66:D68)</f>
        <v>50</v>
      </c>
      <c r="F69" s="10">
        <f>SUM(E66:E68)</f>
        <v>1</v>
      </c>
      <c r="G69" s="9">
        <f>SUM(F66:F68)</f>
        <v>100</v>
      </c>
    </row>
    <row r="83" spans="1:12" x14ac:dyDescent="0.3">
      <c r="B83" t="s">
        <v>6</v>
      </c>
    </row>
    <row r="86" spans="1:12" ht="15" thickBot="1" x14ac:dyDescent="0.35"/>
    <row r="87" spans="1:12" ht="15" thickBot="1" x14ac:dyDescent="0.35">
      <c r="B87" s="11">
        <v>1</v>
      </c>
      <c r="C87" s="13">
        <v>4</v>
      </c>
      <c r="D87" s="13">
        <v>6</v>
      </c>
      <c r="E87" s="13">
        <v>7</v>
      </c>
      <c r="F87" s="13">
        <v>8</v>
      </c>
      <c r="G87" s="14">
        <v>9</v>
      </c>
      <c r="H87" s="14">
        <v>10</v>
      </c>
      <c r="I87" s="14">
        <v>11</v>
      </c>
      <c r="J87" s="14">
        <v>12</v>
      </c>
      <c r="K87" s="14">
        <v>13</v>
      </c>
      <c r="L87" s="14">
        <v>14</v>
      </c>
    </row>
    <row r="88" spans="1:12" ht="15" thickBot="1" x14ac:dyDescent="0.35">
      <c r="B88" s="4"/>
      <c r="C88" s="6" t="s">
        <v>137</v>
      </c>
      <c r="D88" s="6" t="s">
        <v>137</v>
      </c>
      <c r="E88" s="6" t="s">
        <v>138</v>
      </c>
      <c r="F88" s="7" t="s">
        <v>138</v>
      </c>
      <c r="G88" s="41" t="s">
        <v>139</v>
      </c>
      <c r="H88" s="41"/>
      <c r="I88" s="42"/>
      <c r="J88" s="43" t="s">
        <v>140</v>
      </c>
      <c r="K88" s="41"/>
      <c r="L88" s="42"/>
    </row>
    <row r="89" spans="1:12" ht="29.4" thickBot="1" x14ac:dyDescent="0.35">
      <c r="B89" s="15" t="s">
        <v>141</v>
      </c>
      <c r="C89" s="16" t="s">
        <v>152</v>
      </c>
      <c r="D89" s="17" t="s">
        <v>145</v>
      </c>
      <c r="E89" s="18" t="s">
        <v>146</v>
      </c>
      <c r="F89" s="19" t="s">
        <v>149</v>
      </c>
      <c r="G89" s="17" t="s">
        <v>145</v>
      </c>
      <c r="H89" s="18" t="s">
        <v>146</v>
      </c>
      <c r="I89" s="19" t="s">
        <v>149</v>
      </c>
      <c r="J89" s="17" t="s">
        <v>145</v>
      </c>
      <c r="K89" s="18" t="s">
        <v>146</v>
      </c>
      <c r="L89" s="19" t="s">
        <v>149</v>
      </c>
    </row>
    <row r="90" spans="1:12" ht="15" thickBot="1" x14ac:dyDescent="0.35">
      <c r="B90" s="20" t="s">
        <v>182</v>
      </c>
      <c r="C90" s="21" t="s">
        <v>151</v>
      </c>
      <c r="D90" s="21" t="s">
        <v>147</v>
      </c>
      <c r="E90" s="21" t="s">
        <v>148</v>
      </c>
      <c r="F90" s="21" t="s">
        <v>150</v>
      </c>
      <c r="G90" s="21" t="s">
        <v>153</v>
      </c>
      <c r="H90" s="21" t="s">
        <v>154</v>
      </c>
      <c r="I90" s="21" t="s">
        <v>155</v>
      </c>
      <c r="J90" s="21" t="s">
        <v>156</v>
      </c>
      <c r="K90" s="21" t="s">
        <v>157</v>
      </c>
      <c r="L90" s="21" t="s">
        <v>158</v>
      </c>
    </row>
    <row r="91" spans="1:12" ht="24.6" thickBot="1" x14ac:dyDescent="0.35">
      <c r="A91">
        <v>1</v>
      </c>
      <c r="B91" s="3" t="s">
        <v>74</v>
      </c>
      <c r="C91" s="1" t="s">
        <v>196</v>
      </c>
      <c r="D91" s="1">
        <v>3</v>
      </c>
      <c r="E91" s="1">
        <f>D91/50</f>
        <v>0.06</v>
      </c>
      <c r="F91" s="1">
        <f>E91*100</f>
        <v>6</v>
      </c>
      <c r="G91" s="1">
        <f>D91</f>
        <v>3</v>
      </c>
      <c r="H91" s="1">
        <f>E91</f>
        <v>0.06</v>
      </c>
      <c r="I91" s="1">
        <f>F91</f>
        <v>6</v>
      </c>
      <c r="J91" s="1">
        <f t="shared" ref="J91:J95" si="11">J92+D91</f>
        <v>50</v>
      </c>
      <c r="K91" s="1">
        <f t="shared" ref="K91:K102" si="12">K92+E91</f>
        <v>1.0000000000000002</v>
      </c>
      <c r="L91" s="1">
        <f>K91*100</f>
        <v>100.00000000000003</v>
      </c>
    </row>
    <row r="92" spans="1:12" ht="24.6" thickBot="1" x14ac:dyDescent="0.35">
      <c r="A92">
        <v>2</v>
      </c>
      <c r="B92" s="3" t="s">
        <v>40</v>
      </c>
      <c r="C92" s="1" t="s">
        <v>196</v>
      </c>
      <c r="D92" s="2">
        <v>3</v>
      </c>
      <c r="E92" s="1">
        <f t="shared" ref="E92:E103" si="13">D92/50</f>
        <v>0.06</v>
      </c>
      <c r="F92" s="1">
        <f t="shared" ref="F92:F93" si="14">E92*100</f>
        <v>6</v>
      </c>
      <c r="G92" s="1">
        <f t="shared" ref="G92:I96" si="15">G91+D92</f>
        <v>6</v>
      </c>
      <c r="H92" s="1">
        <f t="shared" si="15"/>
        <v>0.12</v>
      </c>
      <c r="I92" s="1">
        <f t="shared" si="15"/>
        <v>12</v>
      </c>
      <c r="J92" s="1">
        <f t="shared" si="11"/>
        <v>47</v>
      </c>
      <c r="K92" s="1">
        <f t="shared" si="12"/>
        <v>0.94000000000000017</v>
      </c>
      <c r="L92" s="1">
        <f t="shared" ref="L92:L103" si="16">K92*100</f>
        <v>94.000000000000014</v>
      </c>
    </row>
    <row r="93" spans="1:12" ht="15" thickBot="1" x14ac:dyDescent="0.35">
      <c r="A93">
        <v>3</v>
      </c>
      <c r="B93" s="3" t="s">
        <v>124</v>
      </c>
      <c r="C93" s="31" t="s">
        <v>162</v>
      </c>
      <c r="D93" s="28">
        <v>1</v>
      </c>
      <c r="E93" s="1">
        <f t="shared" si="13"/>
        <v>0.02</v>
      </c>
      <c r="F93" s="1">
        <f t="shared" si="14"/>
        <v>2</v>
      </c>
      <c r="G93" s="1">
        <f t="shared" si="15"/>
        <v>7</v>
      </c>
      <c r="H93" s="1">
        <f t="shared" si="15"/>
        <v>0.13999999999999999</v>
      </c>
      <c r="I93" s="1">
        <f t="shared" si="15"/>
        <v>14</v>
      </c>
      <c r="J93" s="1">
        <f t="shared" si="11"/>
        <v>44</v>
      </c>
      <c r="K93" s="1">
        <f t="shared" si="12"/>
        <v>0.88000000000000012</v>
      </c>
      <c r="L93" s="1">
        <f t="shared" si="16"/>
        <v>88.000000000000014</v>
      </c>
    </row>
    <row r="94" spans="1:12" ht="24.6" thickBot="1" x14ac:dyDescent="0.35">
      <c r="A94">
        <v>4</v>
      </c>
      <c r="B94" s="3" t="s">
        <v>15</v>
      </c>
      <c r="C94" s="1" t="s">
        <v>196</v>
      </c>
      <c r="D94" s="1">
        <v>3</v>
      </c>
      <c r="E94" s="1">
        <f t="shared" si="13"/>
        <v>0.06</v>
      </c>
      <c r="F94" s="1">
        <f>E94*100</f>
        <v>6</v>
      </c>
      <c r="G94" s="1">
        <f t="shared" si="15"/>
        <v>10</v>
      </c>
      <c r="H94" s="1">
        <f t="shared" si="15"/>
        <v>0.19999999999999998</v>
      </c>
      <c r="I94" s="1">
        <f t="shared" si="15"/>
        <v>20</v>
      </c>
      <c r="J94" s="1">
        <f t="shared" si="11"/>
        <v>43</v>
      </c>
      <c r="K94" s="1">
        <f t="shared" si="12"/>
        <v>0.8600000000000001</v>
      </c>
      <c r="L94" s="1">
        <f t="shared" si="16"/>
        <v>86.000000000000014</v>
      </c>
    </row>
    <row r="95" spans="1:12" ht="48.6" thickBot="1" x14ac:dyDescent="0.35">
      <c r="A95">
        <v>5</v>
      </c>
      <c r="B95" s="3" t="s">
        <v>22</v>
      </c>
      <c r="C95" s="1" t="s">
        <v>193</v>
      </c>
      <c r="D95" s="2">
        <v>2</v>
      </c>
      <c r="E95" s="1">
        <f>D95/50</f>
        <v>0.04</v>
      </c>
      <c r="F95" s="1">
        <f t="shared" ref="F95" si="17">E95*100</f>
        <v>4</v>
      </c>
      <c r="G95" s="1">
        <f t="shared" si="15"/>
        <v>12</v>
      </c>
      <c r="H95" s="1">
        <f t="shared" si="15"/>
        <v>0.24</v>
      </c>
      <c r="I95" s="1">
        <f t="shared" si="15"/>
        <v>24</v>
      </c>
      <c r="J95" s="1">
        <f t="shared" si="11"/>
        <v>40</v>
      </c>
      <c r="K95" s="1">
        <f t="shared" si="12"/>
        <v>0.8</v>
      </c>
      <c r="L95" s="1">
        <f t="shared" si="16"/>
        <v>80</v>
      </c>
    </row>
    <row r="96" spans="1:12" ht="24.6" thickBot="1" x14ac:dyDescent="0.35">
      <c r="A96">
        <v>6</v>
      </c>
      <c r="B96" s="3" t="s">
        <v>27</v>
      </c>
      <c r="C96" s="31" t="s">
        <v>196</v>
      </c>
      <c r="D96" s="28">
        <v>29</v>
      </c>
      <c r="E96" s="1">
        <f t="shared" si="13"/>
        <v>0.57999999999999996</v>
      </c>
      <c r="F96" s="1">
        <f>E96*100</f>
        <v>57.999999999999993</v>
      </c>
      <c r="G96" s="1">
        <f t="shared" si="15"/>
        <v>41</v>
      </c>
      <c r="H96" s="1">
        <f t="shared" si="15"/>
        <v>0.82</v>
      </c>
      <c r="I96" s="1">
        <f t="shared" si="15"/>
        <v>82</v>
      </c>
      <c r="J96" s="1">
        <f t="shared" ref="J96:J102" si="18">J97+D96</f>
        <v>38</v>
      </c>
      <c r="K96" s="1">
        <f t="shared" si="12"/>
        <v>0.76</v>
      </c>
      <c r="L96" s="1">
        <f t="shared" si="16"/>
        <v>76</v>
      </c>
    </row>
    <row r="97" spans="1:12" ht="24.6" thickBot="1" x14ac:dyDescent="0.35">
      <c r="A97">
        <v>7</v>
      </c>
      <c r="B97" s="3" t="s">
        <v>57</v>
      </c>
      <c r="C97" s="1" t="s">
        <v>162</v>
      </c>
      <c r="D97" s="1">
        <v>1</v>
      </c>
      <c r="E97" s="1">
        <f t="shared" si="13"/>
        <v>0.02</v>
      </c>
      <c r="F97" s="1">
        <f>E97*100</f>
        <v>2</v>
      </c>
      <c r="G97" s="1">
        <f>D97+G96</f>
        <v>42</v>
      </c>
      <c r="H97" s="1">
        <f t="shared" ref="H97:H102" si="19">H96+E97</f>
        <v>0.84</v>
      </c>
      <c r="I97" s="1">
        <f>H97*100</f>
        <v>84</v>
      </c>
      <c r="J97" s="1">
        <f t="shared" si="18"/>
        <v>9</v>
      </c>
      <c r="K97" s="1">
        <f t="shared" si="12"/>
        <v>0.18</v>
      </c>
      <c r="L97" s="1">
        <f t="shared" si="16"/>
        <v>18</v>
      </c>
    </row>
    <row r="98" spans="1:12" ht="15" thickBot="1" x14ac:dyDescent="0.35">
      <c r="A98">
        <v>8</v>
      </c>
      <c r="B98" s="3" t="s">
        <v>199</v>
      </c>
      <c r="C98" s="1"/>
      <c r="D98" s="32">
        <v>0</v>
      </c>
      <c r="E98" s="1">
        <f t="shared" si="13"/>
        <v>0</v>
      </c>
      <c r="F98" s="1">
        <f>E98*100</f>
        <v>0</v>
      </c>
      <c r="G98" s="1">
        <f>G97+D98</f>
        <v>42</v>
      </c>
      <c r="H98" s="1">
        <f t="shared" si="19"/>
        <v>0.84</v>
      </c>
      <c r="I98" s="1">
        <f>H98*100</f>
        <v>84</v>
      </c>
      <c r="J98" s="1">
        <f t="shared" si="18"/>
        <v>8</v>
      </c>
      <c r="K98" s="1">
        <f t="shared" si="12"/>
        <v>0.16</v>
      </c>
      <c r="L98" s="1">
        <f t="shared" si="16"/>
        <v>16</v>
      </c>
    </row>
    <row r="99" spans="1:12" ht="24.6" thickBot="1" x14ac:dyDescent="0.35">
      <c r="A99">
        <v>9</v>
      </c>
      <c r="B99" s="3" t="s">
        <v>87</v>
      </c>
      <c r="C99" s="1" t="s">
        <v>162</v>
      </c>
      <c r="D99" s="1">
        <v>1</v>
      </c>
      <c r="E99" s="1">
        <f t="shared" si="13"/>
        <v>0.02</v>
      </c>
      <c r="F99" s="1">
        <f t="shared" ref="F99" si="20">E99*100</f>
        <v>2</v>
      </c>
      <c r="G99" s="1">
        <f>G98+D99</f>
        <v>43</v>
      </c>
      <c r="H99" s="1">
        <f t="shared" si="19"/>
        <v>0.86</v>
      </c>
      <c r="I99" s="1">
        <f>H99*100</f>
        <v>86</v>
      </c>
      <c r="J99" s="1">
        <f t="shared" si="18"/>
        <v>8</v>
      </c>
      <c r="K99" s="1">
        <f t="shared" si="12"/>
        <v>0.16</v>
      </c>
      <c r="L99" s="1">
        <f t="shared" si="16"/>
        <v>16</v>
      </c>
    </row>
    <row r="100" spans="1:12" ht="24.6" thickBot="1" x14ac:dyDescent="0.35">
      <c r="A100">
        <v>10</v>
      </c>
      <c r="B100" s="3" t="s">
        <v>197</v>
      </c>
      <c r="C100" s="1"/>
      <c r="D100" s="1">
        <v>0</v>
      </c>
      <c r="E100" s="1">
        <f t="shared" si="13"/>
        <v>0</v>
      </c>
      <c r="F100" s="1">
        <f>E100*100</f>
        <v>0</v>
      </c>
      <c r="G100" s="1">
        <f>G99+D100</f>
        <v>43</v>
      </c>
      <c r="H100" s="1">
        <f t="shared" si="19"/>
        <v>0.86</v>
      </c>
      <c r="I100" s="1">
        <f>H100*100</f>
        <v>86</v>
      </c>
      <c r="J100" s="1">
        <f t="shared" si="18"/>
        <v>7</v>
      </c>
      <c r="K100" s="1">
        <f t="shared" si="12"/>
        <v>0.14000000000000001</v>
      </c>
      <c r="L100" s="1">
        <f t="shared" si="16"/>
        <v>14.000000000000002</v>
      </c>
    </row>
    <row r="101" spans="1:12" ht="36.6" thickBot="1" x14ac:dyDescent="0.35">
      <c r="A101">
        <v>11</v>
      </c>
      <c r="B101" s="3" t="s">
        <v>198</v>
      </c>
      <c r="C101" s="1"/>
      <c r="D101" s="1">
        <v>0</v>
      </c>
      <c r="E101" s="2">
        <f t="shared" si="13"/>
        <v>0</v>
      </c>
      <c r="F101" s="1">
        <f t="shared" ref="F101:F102" si="21">E101*100</f>
        <v>0</v>
      </c>
      <c r="G101" s="1">
        <f>G100+D101</f>
        <v>43</v>
      </c>
      <c r="H101" s="1">
        <f t="shared" si="19"/>
        <v>0.86</v>
      </c>
      <c r="I101" s="1">
        <f t="shared" ref="I101" si="22">I100+F101</f>
        <v>86</v>
      </c>
      <c r="J101" s="1">
        <f t="shared" si="18"/>
        <v>7</v>
      </c>
      <c r="K101" s="1">
        <f t="shared" si="12"/>
        <v>0.14000000000000001</v>
      </c>
      <c r="L101" s="1">
        <f t="shared" si="16"/>
        <v>14.000000000000002</v>
      </c>
    </row>
    <row r="102" spans="1:12" ht="15" thickBot="1" x14ac:dyDescent="0.35">
      <c r="A102">
        <v>12</v>
      </c>
      <c r="B102" s="3" t="s">
        <v>84</v>
      </c>
      <c r="C102" s="1" t="s">
        <v>200</v>
      </c>
      <c r="D102" s="27">
        <v>5</v>
      </c>
      <c r="E102" s="28">
        <f t="shared" si="13"/>
        <v>0.1</v>
      </c>
      <c r="F102" s="1">
        <f t="shared" si="21"/>
        <v>10</v>
      </c>
      <c r="G102" s="1">
        <f>G101+D102</f>
        <v>48</v>
      </c>
      <c r="H102" s="1">
        <f t="shared" si="19"/>
        <v>0.96</v>
      </c>
      <c r="I102" s="1">
        <f>I101+F102</f>
        <v>96</v>
      </c>
      <c r="J102" s="1">
        <f t="shared" si="18"/>
        <v>7</v>
      </c>
      <c r="K102" s="31">
        <f t="shared" si="12"/>
        <v>0.14000000000000001</v>
      </c>
      <c r="L102" s="1">
        <f t="shared" si="16"/>
        <v>14.000000000000002</v>
      </c>
    </row>
    <row r="103" spans="1:12" ht="15" thickBot="1" x14ac:dyDescent="0.35">
      <c r="A103">
        <v>13</v>
      </c>
      <c r="B103" s="3" t="s">
        <v>48</v>
      </c>
      <c r="C103" s="1" t="s">
        <v>193</v>
      </c>
      <c r="D103" s="28">
        <v>2</v>
      </c>
      <c r="E103" s="1">
        <f t="shared" si="13"/>
        <v>0.04</v>
      </c>
      <c r="F103" s="2">
        <f t="shared" ref="F103:F104" si="23">E103*100</f>
        <v>4</v>
      </c>
      <c r="G103" s="1">
        <f t="shared" ref="G103" si="24">G102+D103</f>
        <v>50</v>
      </c>
      <c r="H103" s="1">
        <f t="shared" ref="H103" si="25">H102+E103</f>
        <v>1</v>
      </c>
      <c r="I103" s="1">
        <f>I102+F103</f>
        <v>100</v>
      </c>
      <c r="J103" s="1">
        <f>D103</f>
        <v>2</v>
      </c>
      <c r="K103" s="31">
        <f>E103</f>
        <v>0.04</v>
      </c>
      <c r="L103" s="1">
        <f t="shared" si="16"/>
        <v>4</v>
      </c>
    </row>
    <row r="104" spans="1:12" ht="15" thickBot="1" x14ac:dyDescent="0.35">
      <c r="D104" s="25">
        <f>SUM(D91:D103)</f>
        <v>50</v>
      </c>
      <c r="E104" s="25">
        <f>SUM(E91:E103)</f>
        <v>1</v>
      </c>
      <c r="F104" s="30">
        <f t="shared" si="23"/>
        <v>100</v>
      </c>
    </row>
    <row r="115" spans="2:12" x14ac:dyDescent="0.3">
      <c r="L115" s="34"/>
    </row>
    <row r="116" spans="2:12" x14ac:dyDescent="0.3">
      <c r="B116" t="s">
        <v>5</v>
      </c>
      <c r="L116" s="34"/>
    </row>
    <row r="117" spans="2:12" x14ac:dyDescent="0.3">
      <c r="L117" s="35"/>
    </row>
    <row r="118" spans="2:12" ht="15" customHeight="1" thickBot="1" x14ac:dyDescent="0.35">
      <c r="L118" s="33"/>
    </row>
    <row r="119" spans="2:12" ht="15" thickBot="1" x14ac:dyDescent="0.35">
      <c r="B119" s="11">
        <v>1</v>
      </c>
      <c r="C119" s="13">
        <v>4</v>
      </c>
      <c r="D119" s="13">
        <v>6</v>
      </c>
      <c r="E119" s="13">
        <v>7</v>
      </c>
      <c r="F119" s="13">
        <v>8</v>
      </c>
      <c r="G119" s="14">
        <v>9</v>
      </c>
      <c r="H119" s="14">
        <v>10</v>
      </c>
      <c r="I119" s="14">
        <v>11</v>
      </c>
      <c r="J119" s="14">
        <v>12</v>
      </c>
      <c r="K119" s="14">
        <v>13</v>
      </c>
      <c r="L119" s="14">
        <v>14</v>
      </c>
    </row>
    <row r="120" spans="2:12" ht="36.6" customHeight="1" thickBot="1" x14ac:dyDescent="0.35">
      <c r="B120" s="4"/>
      <c r="C120" s="6" t="s">
        <v>137</v>
      </c>
      <c r="D120" s="6" t="s">
        <v>137</v>
      </c>
      <c r="E120" s="6" t="s">
        <v>138</v>
      </c>
      <c r="F120" s="7" t="s">
        <v>138</v>
      </c>
      <c r="G120" s="41" t="s">
        <v>139</v>
      </c>
      <c r="H120" s="41"/>
      <c r="I120" s="42"/>
      <c r="J120" s="43" t="s">
        <v>140</v>
      </c>
      <c r="K120" s="41"/>
      <c r="L120" s="42"/>
    </row>
    <row r="121" spans="2:12" ht="29.4" thickBot="1" x14ac:dyDescent="0.35">
      <c r="B121" s="15" t="s">
        <v>141</v>
      </c>
      <c r="C121" s="16" t="s">
        <v>152</v>
      </c>
      <c r="D121" s="17" t="s">
        <v>145</v>
      </c>
      <c r="E121" s="18" t="s">
        <v>146</v>
      </c>
      <c r="F121" s="19" t="s">
        <v>149</v>
      </c>
      <c r="G121" s="17" t="s">
        <v>145</v>
      </c>
      <c r="H121" s="18" t="s">
        <v>146</v>
      </c>
      <c r="I121" s="19" t="s">
        <v>149</v>
      </c>
      <c r="J121" s="17" t="s">
        <v>145</v>
      </c>
      <c r="K121" s="18" t="s">
        <v>146</v>
      </c>
      <c r="L121" s="19" t="s">
        <v>149</v>
      </c>
    </row>
    <row r="122" spans="2:12" ht="15" thickBot="1" x14ac:dyDescent="0.35">
      <c r="B122" s="20" t="s">
        <v>182</v>
      </c>
      <c r="C122" s="21" t="s">
        <v>151</v>
      </c>
      <c r="D122" s="21" t="s">
        <v>147</v>
      </c>
      <c r="E122" s="21" t="s">
        <v>148</v>
      </c>
      <c r="F122" s="21" t="s">
        <v>150</v>
      </c>
      <c r="G122" s="21" t="s">
        <v>153</v>
      </c>
      <c r="H122" s="21" t="s">
        <v>154</v>
      </c>
      <c r="I122" s="21" t="s">
        <v>155</v>
      </c>
      <c r="J122" s="21" t="s">
        <v>156</v>
      </c>
      <c r="K122" s="21" t="s">
        <v>157</v>
      </c>
      <c r="L122" s="21" t="s">
        <v>158</v>
      </c>
    </row>
    <row r="123" spans="2:12" ht="24.6" thickBot="1" x14ac:dyDescent="0.35">
      <c r="B123" s="3" t="s">
        <v>183</v>
      </c>
      <c r="C123" s="1" t="s">
        <v>193</v>
      </c>
      <c r="D123" s="1">
        <v>2</v>
      </c>
      <c r="E123" s="1">
        <f>D123/50</f>
        <v>0.04</v>
      </c>
      <c r="F123" s="1">
        <f>E123*100</f>
        <v>4</v>
      </c>
      <c r="G123" s="1">
        <v>2</v>
      </c>
      <c r="H123" s="1">
        <f>E123</f>
        <v>0.04</v>
      </c>
      <c r="I123" s="1">
        <v>4</v>
      </c>
      <c r="J123" s="1">
        <f t="shared" ref="J123:J130" si="26">J124+D123</f>
        <v>50</v>
      </c>
      <c r="K123" s="1">
        <f t="shared" ref="K123:K130" si="27">K124+E123</f>
        <v>1</v>
      </c>
      <c r="L123" s="1">
        <f>K123*100</f>
        <v>100</v>
      </c>
    </row>
    <row r="124" spans="2:12" ht="24.6" thickBot="1" x14ac:dyDescent="0.35">
      <c r="B124" s="3" t="s">
        <v>184</v>
      </c>
      <c r="C124" s="1" t="s">
        <v>161</v>
      </c>
      <c r="D124" s="2">
        <v>6</v>
      </c>
      <c r="E124" s="1">
        <f t="shared" ref="E124:E132" si="28">D124/50</f>
        <v>0.12</v>
      </c>
      <c r="F124" s="1">
        <f t="shared" ref="F124:F125" si="29">E124*100</f>
        <v>12</v>
      </c>
      <c r="G124" s="1">
        <f>G123+D124</f>
        <v>8</v>
      </c>
      <c r="H124" s="1">
        <f>H123+E124</f>
        <v>0.16</v>
      </c>
      <c r="I124" s="1">
        <f>I123+F124</f>
        <v>16</v>
      </c>
      <c r="J124" s="1">
        <f t="shared" si="26"/>
        <v>48</v>
      </c>
      <c r="K124" s="1">
        <f t="shared" si="27"/>
        <v>0.96000000000000008</v>
      </c>
      <c r="L124" s="1">
        <f t="shared" ref="L124:L132" si="30">K124*100</f>
        <v>96.000000000000014</v>
      </c>
    </row>
    <row r="125" spans="2:12" ht="24.6" thickBot="1" x14ac:dyDescent="0.35">
      <c r="B125" s="3" t="s">
        <v>185</v>
      </c>
      <c r="C125" s="31" t="s">
        <v>194</v>
      </c>
      <c r="D125" s="28">
        <v>9</v>
      </c>
      <c r="E125" s="1">
        <f t="shared" si="28"/>
        <v>0.18</v>
      </c>
      <c r="F125" s="1">
        <f t="shared" si="29"/>
        <v>18</v>
      </c>
      <c r="G125" s="1">
        <f t="shared" ref="G125:G132" si="31">G124+D125</f>
        <v>17</v>
      </c>
      <c r="H125" s="1">
        <f t="shared" ref="H125:H132" si="32">H124+E125</f>
        <v>0.33999999999999997</v>
      </c>
      <c r="I125" s="1">
        <f t="shared" ref="I125:I131" si="33">I124+F125</f>
        <v>34</v>
      </c>
      <c r="J125" s="1">
        <f t="shared" si="26"/>
        <v>42</v>
      </c>
      <c r="K125" s="1">
        <f t="shared" si="27"/>
        <v>0.84000000000000008</v>
      </c>
      <c r="L125" s="1">
        <f t="shared" si="30"/>
        <v>84.000000000000014</v>
      </c>
    </row>
    <row r="126" spans="2:12" ht="24.6" thickBot="1" x14ac:dyDescent="0.35">
      <c r="B126" s="3" t="s">
        <v>186</v>
      </c>
      <c r="C126" s="1" t="s">
        <v>159</v>
      </c>
      <c r="D126" s="1">
        <v>20</v>
      </c>
      <c r="E126" s="1">
        <f t="shared" si="28"/>
        <v>0.4</v>
      </c>
      <c r="F126" s="1">
        <f>E126*100</f>
        <v>40</v>
      </c>
      <c r="G126" s="1">
        <f t="shared" si="31"/>
        <v>37</v>
      </c>
      <c r="H126" s="1">
        <f t="shared" si="32"/>
        <v>0.74</v>
      </c>
      <c r="I126" s="1">
        <f t="shared" si="33"/>
        <v>74</v>
      </c>
      <c r="J126" s="1">
        <f t="shared" si="26"/>
        <v>33</v>
      </c>
      <c r="K126" s="1">
        <f t="shared" si="27"/>
        <v>0.66</v>
      </c>
      <c r="L126" s="1">
        <f t="shared" si="30"/>
        <v>66</v>
      </c>
    </row>
    <row r="127" spans="2:12" ht="24.6" thickBot="1" x14ac:dyDescent="0.35">
      <c r="B127" s="3" t="s">
        <v>187</v>
      </c>
      <c r="C127" s="1" t="s">
        <v>195</v>
      </c>
      <c r="D127" s="2">
        <v>7</v>
      </c>
      <c r="E127" s="1">
        <f t="shared" si="28"/>
        <v>0.14000000000000001</v>
      </c>
      <c r="F127" s="1">
        <f t="shared" ref="F127:F128" si="34">E127*100</f>
        <v>14.000000000000002</v>
      </c>
      <c r="G127" s="1">
        <f t="shared" si="31"/>
        <v>44</v>
      </c>
      <c r="H127" s="1">
        <f t="shared" si="32"/>
        <v>0.88</v>
      </c>
      <c r="I127" s="1">
        <f t="shared" si="33"/>
        <v>88</v>
      </c>
      <c r="J127" s="1">
        <f t="shared" si="26"/>
        <v>13</v>
      </c>
      <c r="K127" s="1">
        <f t="shared" si="27"/>
        <v>0.26</v>
      </c>
      <c r="L127" s="1">
        <f t="shared" si="30"/>
        <v>26</v>
      </c>
    </row>
    <row r="128" spans="2:12" ht="24.6" thickBot="1" x14ac:dyDescent="0.35">
      <c r="B128" s="3" t="s">
        <v>188</v>
      </c>
      <c r="C128" s="31" t="s">
        <v>196</v>
      </c>
      <c r="D128" s="28">
        <v>3</v>
      </c>
      <c r="E128" s="1">
        <f t="shared" si="28"/>
        <v>0.06</v>
      </c>
      <c r="F128" s="1">
        <f t="shared" si="34"/>
        <v>6</v>
      </c>
      <c r="G128" s="1">
        <f t="shared" si="31"/>
        <v>47</v>
      </c>
      <c r="H128" s="1">
        <f t="shared" si="32"/>
        <v>0.94</v>
      </c>
      <c r="I128" s="1">
        <f t="shared" si="33"/>
        <v>94</v>
      </c>
      <c r="J128" s="1">
        <f t="shared" si="26"/>
        <v>6</v>
      </c>
      <c r="K128" s="1">
        <f t="shared" si="27"/>
        <v>0.12</v>
      </c>
      <c r="L128" s="1">
        <f t="shared" si="30"/>
        <v>12</v>
      </c>
    </row>
    <row r="129" spans="2:12" ht="24.6" thickBot="1" x14ac:dyDescent="0.35">
      <c r="B129" s="3" t="s">
        <v>189</v>
      </c>
      <c r="C129" s="1"/>
      <c r="D129" s="1">
        <v>0</v>
      </c>
      <c r="E129" s="1">
        <f t="shared" si="28"/>
        <v>0</v>
      </c>
      <c r="F129" s="1">
        <f>E129*100</f>
        <v>0</v>
      </c>
      <c r="G129" s="1">
        <f t="shared" si="31"/>
        <v>47</v>
      </c>
      <c r="H129" s="1">
        <f t="shared" si="32"/>
        <v>0.94</v>
      </c>
      <c r="I129" s="1">
        <f t="shared" si="33"/>
        <v>94</v>
      </c>
      <c r="J129" s="1">
        <f t="shared" si="26"/>
        <v>3</v>
      </c>
      <c r="K129" s="1">
        <f t="shared" si="27"/>
        <v>0.06</v>
      </c>
      <c r="L129" s="1">
        <f t="shared" si="30"/>
        <v>6</v>
      </c>
    </row>
    <row r="130" spans="2:12" ht="24.6" thickBot="1" x14ac:dyDescent="0.35">
      <c r="B130" s="3" t="s">
        <v>190</v>
      </c>
      <c r="C130" s="1" t="s">
        <v>193</v>
      </c>
      <c r="D130" s="2">
        <v>2</v>
      </c>
      <c r="E130" s="1">
        <f t="shared" si="28"/>
        <v>0.04</v>
      </c>
      <c r="F130" s="1">
        <f t="shared" ref="F130:F132" si="35">E130*100</f>
        <v>4</v>
      </c>
      <c r="G130" s="1">
        <f t="shared" si="31"/>
        <v>49</v>
      </c>
      <c r="H130" s="1">
        <f t="shared" si="32"/>
        <v>0.98</v>
      </c>
      <c r="I130" s="1">
        <f t="shared" si="33"/>
        <v>98</v>
      </c>
      <c r="J130" s="1">
        <f t="shared" si="26"/>
        <v>3</v>
      </c>
      <c r="K130" s="1">
        <f t="shared" si="27"/>
        <v>0.06</v>
      </c>
      <c r="L130" s="1">
        <f t="shared" si="30"/>
        <v>6</v>
      </c>
    </row>
    <row r="131" spans="2:12" ht="24.6" thickBot="1" x14ac:dyDescent="0.35">
      <c r="B131" s="3" t="s">
        <v>191</v>
      </c>
      <c r="C131" s="31"/>
      <c r="D131" s="28">
        <v>0</v>
      </c>
      <c r="E131" s="1">
        <f t="shared" si="28"/>
        <v>0</v>
      </c>
      <c r="F131" s="2">
        <f t="shared" si="35"/>
        <v>0</v>
      </c>
      <c r="G131" s="1">
        <f t="shared" si="31"/>
        <v>49</v>
      </c>
      <c r="H131" s="1">
        <f t="shared" si="32"/>
        <v>0.98</v>
      </c>
      <c r="I131" s="1">
        <f t="shared" si="33"/>
        <v>98</v>
      </c>
      <c r="J131" s="1">
        <f>J132+D131</f>
        <v>1</v>
      </c>
      <c r="K131" s="1">
        <f>K132+E131</f>
        <v>0.02</v>
      </c>
      <c r="L131" s="1">
        <f t="shared" si="30"/>
        <v>2</v>
      </c>
    </row>
    <row r="132" spans="2:12" ht="24.6" thickBot="1" x14ac:dyDescent="0.35">
      <c r="B132" s="3" t="s">
        <v>192</v>
      </c>
      <c r="C132" s="1" t="s">
        <v>162</v>
      </c>
      <c r="D132" s="28">
        <v>1</v>
      </c>
      <c r="E132" s="31">
        <f t="shared" si="28"/>
        <v>0.02</v>
      </c>
      <c r="F132" s="28">
        <f t="shared" si="35"/>
        <v>2</v>
      </c>
      <c r="G132" s="1">
        <f t="shared" si="31"/>
        <v>50</v>
      </c>
      <c r="H132" s="1">
        <f t="shared" si="32"/>
        <v>1</v>
      </c>
      <c r="I132" s="1">
        <f>I131+F132</f>
        <v>100</v>
      </c>
      <c r="J132" s="1">
        <v>1</v>
      </c>
      <c r="K132" s="1">
        <f>J132/50</f>
        <v>0.02</v>
      </c>
      <c r="L132" s="1">
        <f t="shared" si="30"/>
        <v>2</v>
      </c>
    </row>
    <row r="144" spans="2:12" x14ac:dyDescent="0.3">
      <c r="B144" t="s">
        <v>7</v>
      </c>
    </row>
    <row r="148" spans="2:12" ht="15" thickBot="1" x14ac:dyDescent="0.35"/>
    <row r="149" spans="2:12" ht="15" thickBot="1" x14ac:dyDescent="0.35">
      <c r="B149" s="11">
        <v>1</v>
      </c>
      <c r="C149" s="13">
        <v>4</v>
      </c>
      <c r="D149" s="13">
        <v>6</v>
      </c>
      <c r="E149" s="13">
        <v>7</v>
      </c>
      <c r="F149" s="13">
        <v>8</v>
      </c>
      <c r="G149" s="14">
        <v>9</v>
      </c>
      <c r="H149" s="14">
        <v>10</v>
      </c>
      <c r="I149" s="14">
        <v>11</v>
      </c>
      <c r="J149" s="14">
        <v>12</v>
      </c>
      <c r="K149" s="14">
        <v>13</v>
      </c>
      <c r="L149" s="14">
        <v>14</v>
      </c>
    </row>
    <row r="150" spans="2:12" ht="15" thickBot="1" x14ac:dyDescent="0.35">
      <c r="B150" s="4"/>
      <c r="C150" s="6" t="s">
        <v>137</v>
      </c>
      <c r="D150" s="6" t="s">
        <v>137</v>
      </c>
      <c r="E150" s="6" t="s">
        <v>138</v>
      </c>
      <c r="F150" s="7" t="s">
        <v>138</v>
      </c>
      <c r="G150" s="41" t="s">
        <v>139</v>
      </c>
      <c r="H150" s="41"/>
      <c r="I150" s="42"/>
      <c r="J150" s="43" t="s">
        <v>140</v>
      </c>
      <c r="K150" s="41"/>
      <c r="L150" s="42"/>
    </row>
    <row r="151" spans="2:12" ht="29.4" thickBot="1" x14ac:dyDescent="0.35">
      <c r="B151" s="15" t="s">
        <v>141</v>
      </c>
      <c r="C151" s="16" t="s">
        <v>152</v>
      </c>
      <c r="D151" s="17" t="s">
        <v>145</v>
      </c>
      <c r="E151" s="18" t="s">
        <v>146</v>
      </c>
      <c r="F151" s="19" t="s">
        <v>149</v>
      </c>
      <c r="G151" s="17" t="s">
        <v>145</v>
      </c>
      <c r="H151" s="18" t="s">
        <v>146</v>
      </c>
      <c r="I151" s="19" t="s">
        <v>149</v>
      </c>
      <c r="J151" s="17" t="s">
        <v>145</v>
      </c>
      <c r="K151" s="18" t="s">
        <v>146</v>
      </c>
      <c r="L151" s="19" t="s">
        <v>149</v>
      </c>
    </row>
    <row r="152" spans="2:12" ht="15" thickBot="1" x14ac:dyDescent="0.35">
      <c r="B152" s="20"/>
      <c r="C152" s="21" t="s">
        <v>151</v>
      </c>
      <c r="D152" s="21" t="s">
        <v>147</v>
      </c>
      <c r="E152" s="21" t="s">
        <v>148</v>
      </c>
      <c r="F152" s="21" t="s">
        <v>150</v>
      </c>
      <c r="G152" s="21" t="s">
        <v>153</v>
      </c>
      <c r="H152" s="21" t="s">
        <v>154</v>
      </c>
      <c r="I152" s="21" t="s">
        <v>155</v>
      </c>
      <c r="J152" s="21" t="s">
        <v>156</v>
      </c>
      <c r="K152" s="21" t="s">
        <v>157</v>
      </c>
      <c r="L152" s="21" t="s">
        <v>158</v>
      </c>
    </row>
    <row r="153" spans="2:12" ht="15" thickBot="1" x14ac:dyDescent="0.35">
      <c r="B153" s="3" t="s">
        <v>201</v>
      </c>
      <c r="C153" s="1" t="s">
        <v>159</v>
      </c>
      <c r="D153" s="1">
        <v>10</v>
      </c>
      <c r="E153" s="1">
        <f>D153/D155</f>
        <v>0.2</v>
      </c>
      <c r="F153" s="1">
        <f>E153*100</f>
        <v>20</v>
      </c>
      <c r="G153" s="2">
        <f>D153</f>
        <v>10</v>
      </c>
      <c r="H153" s="1">
        <f>E153</f>
        <v>0.2</v>
      </c>
      <c r="I153" s="1">
        <f>F153</f>
        <v>20</v>
      </c>
      <c r="J153" s="1">
        <f t="shared" ref="J153" si="36">J154+D153</f>
        <v>50</v>
      </c>
      <c r="K153" s="1">
        <f t="shared" ref="K153" si="37">K154+E153</f>
        <v>1</v>
      </c>
      <c r="L153" s="1">
        <f t="shared" ref="L153" si="38">L154+F153</f>
        <v>100</v>
      </c>
    </row>
    <row r="154" spans="2:12" ht="15" thickBot="1" x14ac:dyDescent="0.35">
      <c r="B154" s="3" t="s">
        <v>202</v>
      </c>
      <c r="C154" s="1" t="s">
        <v>160</v>
      </c>
      <c r="D154" s="1">
        <v>40</v>
      </c>
      <c r="E154" s="1">
        <f>D154/D155</f>
        <v>0.8</v>
      </c>
      <c r="F154" s="27">
        <f t="shared" ref="F154" si="39">E154*100</f>
        <v>80</v>
      </c>
      <c r="G154" s="28">
        <f t="shared" ref="G154" si="40">G153+D154</f>
        <v>50</v>
      </c>
      <c r="H154" s="1">
        <f t="shared" ref="H154" si="41">H153+E154</f>
        <v>1</v>
      </c>
      <c r="I154" s="1">
        <f t="shared" ref="I154" si="42">I153+F154</f>
        <v>100</v>
      </c>
      <c r="J154" s="1">
        <f>D154</f>
        <v>40</v>
      </c>
      <c r="K154" s="1">
        <f>E154</f>
        <v>0.8</v>
      </c>
      <c r="L154" s="1">
        <f>K154*100</f>
        <v>80</v>
      </c>
    </row>
    <row r="155" spans="2:12" ht="15" thickBot="1" x14ac:dyDescent="0.35">
      <c r="C155" s="36"/>
      <c r="D155" s="10">
        <f>SUM(D153:D154)</f>
        <v>50</v>
      </c>
      <c r="E155" s="10">
        <f>E153+E154</f>
        <v>1</v>
      </c>
      <c r="F155" s="26">
        <f>F153+F154</f>
        <v>100</v>
      </c>
      <c r="G155" s="37"/>
    </row>
    <row r="173" spans="2:2" x14ac:dyDescent="0.3">
      <c r="B173" t="s">
        <v>8</v>
      </c>
    </row>
    <row r="176" spans="2:2" ht="15" thickBot="1" x14ac:dyDescent="0.35"/>
    <row r="177" spans="2:12" ht="15" thickBot="1" x14ac:dyDescent="0.35">
      <c r="B177" s="11">
        <v>1</v>
      </c>
      <c r="C177" s="13">
        <v>4</v>
      </c>
      <c r="D177" s="13">
        <v>6</v>
      </c>
      <c r="E177" s="13">
        <v>7</v>
      </c>
      <c r="F177" s="13">
        <v>8</v>
      </c>
      <c r="G177" s="14">
        <v>9</v>
      </c>
      <c r="H177" s="14">
        <v>10</v>
      </c>
      <c r="I177" s="14">
        <v>11</v>
      </c>
      <c r="J177" s="14">
        <v>12</v>
      </c>
      <c r="K177" s="14">
        <v>13</v>
      </c>
      <c r="L177" s="14">
        <v>14</v>
      </c>
    </row>
    <row r="178" spans="2:12" ht="15" thickBot="1" x14ac:dyDescent="0.35">
      <c r="B178" s="4"/>
      <c r="C178" s="6" t="s">
        <v>137</v>
      </c>
      <c r="D178" s="6" t="s">
        <v>137</v>
      </c>
      <c r="E178" s="6" t="s">
        <v>138</v>
      </c>
      <c r="F178" s="7" t="s">
        <v>138</v>
      </c>
      <c r="G178" s="41" t="s">
        <v>139</v>
      </c>
      <c r="H178" s="41"/>
      <c r="I178" s="42"/>
      <c r="J178" s="43" t="s">
        <v>140</v>
      </c>
      <c r="K178" s="41"/>
      <c r="L178" s="42"/>
    </row>
    <row r="179" spans="2:12" ht="29.4" thickBot="1" x14ac:dyDescent="0.35">
      <c r="B179" s="15" t="s">
        <v>141</v>
      </c>
      <c r="C179" s="16" t="s">
        <v>152</v>
      </c>
      <c r="D179" s="17" t="s">
        <v>145</v>
      </c>
      <c r="E179" s="18" t="s">
        <v>146</v>
      </c>
      <c r="F179" s="19" t="s">
        <v>149</v>
      </c>
      <c r="G179" s="17" t="s">
        <v>145</v>
      </c>
      <c r="H179" s="18" t="s">
        <v>146</v>
      </c>
      <c r="I179" s="19" t="s">
        <v>149</v>
      </c>
      <c r="J179" s="17" t="s">
        <v>145</v>
      </c>
      <c r="K179" s="18" t="s">
        <v>146</v>
      </c>
      <c r="L179" s="19" t="s">
        <v>149</v>
      </c>
    </row>
    <row r="180" spans="2:12" ht="15" thickBot="1" x14ac:dyDescent="0.35">
      <c r="B180" s="38" t="s">
        <v>203</v>
      </c>
      <c r="C180" s="21" t="s">
        <v>151</v>
      </c>
      <c r="D180" s="21" t="s">
        <v>147</v>
      </c>
      <c r="E180" s="21" t="s">
        <v>148</v>
      </c>
      <c r="F180" s="21" t="s">
        <v>150</v>
      </c>
      <c r="G180" s="21" t="s">
        <v>153</v>
      </c>
      <c r="H180" s="21" t="s">
        <v>154</v>
      </c>
      <c r="I180" s="21" t="s">
        <v>155</v>
      </c>
      <c r="J180" s="21" t="s">
        <v>156</v>
      </c>
      <c r="K180" s="21" t="s">
        <v>157</v>
      </c>
      <c r="L180" s="21" t="s">
        <v>158</v>
      </c>
    </row>
    <row r="181" spans="2:12" ht="15" thickBot="1" x14ac:dyDescent="0.35">
      <c r="B181" s="3" t="s">
        <v>62</v>
      </c>
      <c r="C181" s="1" t="s">
        <v>193</v>
      </c>
      <c r="D181" s="1">
        <v>2</v>
      </c>
      <c r="E181" s="1">
        <f>D181/50</f>
        <v>0.04</v>
      </c>
      <c r="F181" s="1">
        <f>E181*100</f>
        <v>4</v>
      </c>
      <c r="G181" s="1">
        <v>2</v>
      </c>
      <c r="H181" s="1">
        <f>E181</f>
        <v>0.04</v>
      </c>
      <c r="I181" s="1">
        <v>4</v>
      </c>
      <c r="J181" s="1">
        <f t="shared" ref="J181:J184" si="43">J182+D181</f>
        <v>50</v>
      </c>
      <c r="K181" s="1">
        <f t="shared" ref="K181:K184" si="44">K182+E181</f>
        <v>1</v>
      </c>
      <c r="L181" s="1">
        <f>K181*100</f>
        <v>100</v>
      </c>
    </row>
    <row r="182" spans="2:12" ht="24.6" thickBot="1" x14ac:dyDescent="0.35">
      <c r="B182" s="3" t="s">
        <v>108</v>
      </c>
      <c r="C182" s="1" t="s">
        <v>162</v>
      </c>
      <c r="D182" s="2">
        <v>1</v>
      </c>
      <c r="E182" s="1">
        <f t="shared" ref="E182:E185" si="45">D182/50</f>
        <v>0.02</v>
      </c>
      <c r="F182" s="1">
        <f t="shared" ref="F182:F183" si="46">E182*100</f>
        <v>2</v>
      </c>
      <c r="G182" s="1">
        <f>G181+D182</f>
        <v>3</v>
      </c>
      <c r="H182" s="1">
        <f>H181+E182</f>
        <v>0.06</v>
      </c>
      <c r="I182" s="1">
        <f>I181+F182</f>
        <v>6</v>
      </c>
      <c r="J182" s="1">
        <f t="shared" si="43"/>
        <v>48</v>
      </c>
      <c r="K182" s="1">
        <f t="shared" si="44"/>
        <v>0.96000000000000008</v>
      </c>
      <c r="L182" s="1">
        <f t="shared" ref="L182:L185" si="47">K182*100</f>
        <v>96.000000000000014</v>
      </c>
    </row>
    <row r="183" spans="2:12" ht="24.6" thickBot="1" x14ac:dyDescent="0.35">
      <c r="B183" s="3" t="s">
        <v>33</v>
      </c>
      <c r="C183" s="31" t="s">
        <v>160</v>
      </c>
      <c r="D183" s="28">
        <v>12</v>
      </c>
      <c r="E183" s="1">
        <f t="shared" si="45"/>
        <v>0.24</v>
      </c>
      <c r="F183" s="1">
        <f t="shared" si="46"/>
        <v>24</v>
      </c>
      <c r="G183" s="1">
        <f t="shared" ref="G183:G185" si="48">G182+D183</f>
        <v>15</v>
      </c>
      <c r="H183" s="1">
        <f t="shared" ref="H183:H185" si="49">H182+E183</f>
        <v>0.3</v>
      </c>
      <c r="I183" s="1">
        <f t="shared" ref="I183:I185" si="50">I182+F183</f>
        <v>30</v>
      </c>
      <c r="J183" s="1">
        <f t="shared" si="43"/>
        <v>47</v>
      </c>
      <c r="K183" s="1">
        <f t="shared" si="44"/>
        <v>0.94000000000000006</v>
      </c>
      <c r="L183" s="1">
        <f t="shared" si="47"/>
        <v>94</v>
      </c>
    </row>
    <row r="184" spans="2:12" ht="36.6" thickBot="1" x14ac:dyDescent="0.35">
      <c r="B184" s="3" t="s">
        <v>28</v>
      </c>
      <c r="C184" s="1" t="s">
        <v>204</v>
      </c>
      <c r="D184" s="2">
        <v>8</v>
      </c>
      <c r="E184" s="1">
        <f t="shared" si="45"/>
        <v>0.16</v>
      </c>
      <c r="F184" s="1">
        <f>E184*100</f>
        <v>16</v>
      </c>
      <c r="G184" s="1">
        <f t="shared" si="48"/>
        <v>23</v>
      </c>
      <c r="H184" s="1">
        <f t="shared" si="49"/>
        <v>0.45999999999999996</v>
      </c>
      <c r="I184" s="1">
        <f t="shared" si="50"/>
        <v>46</v>
      </c>
      <c r="J184" s="1">
        <f t="shared" si="43"/>
        <v>35</v>
      </c>
      <c r="K184" s="1">
        <f t="shared" si="44"/>
        <v>0.70000000000000007</v>
      </c>
      <c r="L184" s="2">
        <f t="shared" si="47"/>
        <v>70</v>
      </c>
    </row>
    <row r="185" spans="2:12" ht="15" thickBot="1" x14ac:dyDescent="0.35">
      <c r="B185" s="3" t="s">
        <v>17</v>
      </c>
      <c r="C185" s="31" t="s">
        <v>159</v>
      </c>
      <c r="D185" s="28">
        <v>27</v>
      </c>
      <c r="E185" s="2">
        <f t="shared" si="45"/>
        <v>0.54</v>
      </c>
      <c r="F185" s="2">
        <f t="shared" ref="F185:F186" si="51">E185*100</f>
        <v>54</v>
      </c>
      <c r="G185" s="1">
        <f t="shared" si="48"/>
        <v>50</v>
      </c>
      <c r="H185" s="1">
        <f t="shared" si="49"/>
        <v>1</v>
      </c>
      <c r="I185" s="1">
        <f t="shared" si="50"/>
        <v>100</v>
      </c>
      <c r="J185" s="1">
        <f>D185</f>
        <v>27</v>
      </c>
      <c r="K185" s="31">
        <f>E185</f>
        <v>0.54</v>
      </c>
      <c r="L185" s="28">
        <f t="shared" si="47"/>
        <v>54</v>
      </c>
    </row>
    <row r="186" spans="2:12" ht="15" thickBot="1" x14ac:dyDescent="0.35">
      <c r="D186" s="9">
        <f>SUM(D181:D185)</f>
        <v>50</v>
      </c>
      <c r="E186" s="30">
        <f>SUM(E181:E185)</f>
        <v>1</v>
      </c>
      <c r="F186" s="30">
        <f t="shared" si="51"/>
        <v>100</v>
      </c>
      <c r="K186" s="29" t="s">
        <v>138</v>
      </c>
      <c r="L186" s="29" t="s">
        <v>138</v>
      </c>
    </row>
    <row r="205" spans="2:12" x14ac:dyDescent="0.3">
      <c r="B205" t="s">
        <v>9</v>
      </c>
    </row>
    <row r="207" spans="2:12" ht="15" thickBot="1" x14ac:dyDescent="0.35"/>
    <row r="208" spans="2:12" ht="15" thickBot="1" x14ac:dyDescent="0.35">
      <c r="B208" s="11">
        <v>1</v>
      </c>
      <c r="C208" s="13">
        <v>4</v>
      </c>
      <c r="D208" s="13">
        <v>6</v>
      </c>
      <c r="E208" s="13">
        <v>7</v>
      </c>
      <c r="F208" s="13">
        <v>8</v>
      </c>
      <c r="G208" s="14">
        <v>9</v>
      </c>
      <c r="H208" s="14">
        <v>10</v>
      </c>
      <c r="I208" s="14">
        <v>11</v>
      </c>
      <c r="J208" s="14">
        <v>12</v>
      </c>
      <c r="K208" s="14">
        <v>13</v>
      </c>
      <c r="L208" s="14">
        <v>14</v>
      </c>
    </row>
    <row r="209" spans="2:12" ht="15" thickBot="1" x14ac:dyDescent="0.35">
      <c r="B209" s="4"/>
      <c r="C209" s="6" t="s">
        <v>137</v>
      </c>
      <c r="D209" s="6" t="s">
        <v>137</v>
      </c>
      <c r="E209" s="6" t="s">
        <v>138</v>
      </c>
      <c r="F209" s="7" t="s">
        <v>138</v>
      </c>
      <c r="G209" s="41" t="s">
        <v>139</v>
      </c>
      <c r="H209" s="41"/>
      <c r="I209" s="42"/>
      <c r="J209" s="43" t="s">
        <v>140</v>
      </c>
      <c r="K209" s="41"/>
      <c r="L209" s="42"/>
    </row>
    <row r="210" spans="2:12" ht="29.4" thickBot="1" x14ac:dyDescent="0.35">
      <c r="B210" s="15" t="s">
        <v>141</v>
      </c>
      <c r="C210" s="16" t="s">
        <v>152</v>
      </c>
      <c r="D210" s="17" t="s">
        <v>145</v>
      </c>
      <c r="E210" s="18" t="s">
        <v>146</v>
      </c>
      <c r="F210" s="19" t="s">
        <v>149</v>
      </c>
      <c r="G210" s="17" t="s">
        <v>145</v>
      </c>
      <c r="H210" s="18" t="s">
        <v>146</v>
      </c>
      <c r="I210" s="19" t="s">
        <v>149</v>
      </c>
      <c r="J210" s="17" t="s">
        <v>145</v>
      </c>
      <c r="K210" s="18" t="s">
        <v>146</v>
      </c>
      <c r="L210" s="19" t="s">
        <v>149</v>
      </c>
    </row>
    <row r="211" spans="2:12" ht="15" thickBot="1" x14ac:dyDescent="0.35">
      <c r="B211" s="20"/>
      <c r="C211" s="21" t="s">
        <v>151</v>
      </c>
      <c r="D211" s="21" t="s">
        <v>147</v>
      </c>
      <c r="E211" s="21" t="s">
        <v>148</v>
      </c>
      <c r="F211" s="21" t="s">
        <v>150</v>
      </c>
      <c r="G211" s="21" t="s">
        <v>153</v>
      </c>
      <c r="H211" s="21" t="s">
        <v>154</v>
      </c>
      <c r="I211" s="21" t="s">
        <v>155</v>
      </c>
      <c r="J211" s="21" t="s">
        <v>156</v>
      </c>
      <c r="K211" s="21" t="s">
        <v>157</v>
      </c>
      <c r="L211" s="21" t="s">
        <v>158</v>
      </c>
    </row>
    <row r="212" spans="2:12" ht="15" thickBot="1" x14ac:dyDescent="0.35">
      <c r="B212" s="3" t="s">
        <v>201</v>
      </c>
      <c r="C212" s="1" t="s">
        <v>160</v>
      </c>
      <c r="D212" s="1">
        <v>12</v>
      </c>
      <c r="E212" s="1">
        <f>D212/D214</f>
        <v>0.24</v>
      </c>
      <c r="F212" s="1">
        <f>E212*100</f>
        <v>24</v>
      </c>
      <c r="G212" s="2">
        <f>D212</f>
        <v>12</v>
      </c>
      <c r="H212" s="1">
        <f>E212</f>
        <v>0.24</v>
      </c>
      <c r="I212" s="1">
        <f>F212</f>
        <v>24</v>
      </c>
      <c r="J212" s="1">
        <f t="shared" ref="J212" si="52">J213+D212</f>
        <v>50</v>
      </c>
      <c r="K212" s="1">
        <f t="shared" ref="K212" si="53">K213+E212</f>
        <v>1</v>
      </c>
      <c r="L212" s="1">
        <f t="shared" ref="L212" si="54">L213+F212</f>
        <v>100</v>
      </c>
    </row>
    <row r="213" spans="2:12" ht="15" thickBot="1" x14ac:dyDescent="0.35">
      <c r="B213" s="3" t="s">
        <v>202</v>
      </c>
      <c r="C213" s="1" t="s">
        <v>205</v>
      </c>
      <c r="D213" s="1">
        <v>38</v>
      </c>
      <c r="E213" s="1">
        <f>D213/D214</f>
        <v>0.76</v>
      </c>
      <c r="F213" s="27">
        <f t="shared" ref="F213" si="55">E213*100</f>
        <v>76</v>
      </c>
      <c r="G213" s="28">
        <f t="shared" ref="G213" si="56">G212+D213</f>
        <v>50</v>
      </c>
      <c r="H213" s="1">
        <f t="shared" ref="H213" si="57">H212+E213</f>
        <v>1</v>
      </c>
      <c r="I213" s="1">
        <f t="shared" ref="I213" si="58">I212+F213</f>
        <v>100</v>
      </c>
      <c r="J213" s="1">
        <f>D213</f>
        <v>38</v>
      </c>
      <c r="K213" s="1">
        <f>E213</f>
        <v>0.76</v>
      </c>
      <c r="L213" s="1">
        <f>K213*100</f>
        <v>76</v>
      </c>
    </row>
    <row r="214" spans="2:12" ht="15" thickBot="1" x14ac:dyDescent="0.35">
      <c r="C214" s="36"/>
      <c r="D214" s="10">
        <f>SUM(D212:D213)</f>
        <v>50</v>
      </c>
      <c r="E214" s="10">
        <f>E212+E213</f>
        <v>1</v>
      </c>
      <c r="F214" s="26">
        <f>F212+F213</f>
        <v>100</v>
      </c>
      <c r="G214" s="37"/>
    </row>
    <row r="229" spans="2:15" x14ac:dyDescent="0.3">
      <c r="B229" t="s">
        <v>10</v>
      </c>
    </row>
    <row r="235" spans="2:15" ht="15" thickBot="1" x14ac:dyDescent="0.35"/>
    <row r="236" spans="2:15" ht="15" thickBot="1" x14ac:dyDescent="0.35">
      <c r="B236" s="11">
        <v>1</v>
      </c>
      <c r="C236" s="12"/>
      <c r="D236" s="12">
        <v>2</v>
      </c>
      <c r="E236" s="13">
        <v>4</v>
      </c>
      <c r="F236" s="13">
        <v>5</v>
      </c>
      <c r="G236" s="13">
        <v>6</v>
      </c>
      <c r="H236" s="13">
        <v>7</v>
      </c>
      <c r="I236" s="13">
        <v>8</v>
      </c>
      <c r="J236" s="14">
        <v>9</v>
      </c>
      <c r="K236" s="14">
        <v>10</v>
      </c>
      <c r="L236" s="14">
        <v>11</v>
      </c>
      <c r="M236" s="14">
        <v>12</v>
      </c>
      <c r="N236" s="14">
        <v>13</v>
      </c>
      <c r="O236" s="14">
        <v>14</v>
      </c>
    </row>
    <row r="237" spans="2:15" ht="15" thickBot="1" x14ac:dyDescent="0.35">
      <c r="B237" s="4"/>
      <c r="C237" s="5"/>
      <c r="D237" s="5" t="s">
        <v>137</v>
      </c>
      <c r="E237" s="6" t="s">
        <v>137</v>
      </c>
      <c r="F237" s="6" t="s">
        <v>138</v>
      </c>
      <c r="G237" s="6" t="s">
        <v>137</v>
      </c>
      <c r="H237" s="6" t="s">
        <v>138</v>
      </c>
      <c r="I237" s="7" t="s">
        <v>138</v>
      </c>
      <c r="J237" s="41" t="s">
        <v>139</v>
      </c>
      <c r="K237" s="41"/>
      <c r="L237" s="42"/>
      <c r="M237" s="43" t="s">
        <v>140</v>
      </c>
      <c r="N237" s="41"/>
      <c r="O237" s="42"/>
    </row>
    <row r="238" spans="2:15" ht="29.4" thickBot="1" x14ac:dyDescent="0.35">
      <c r="B238" s="15" t="s">
        <v>141</v>
      </c>
      <c r="C238" s="44" t="s">
        <v>142</v>
      </c>
      <c r="D238" s="45"/>
      <c r="E238" s="16" t="s">
        <v>152</v>
      </c>
      <c r="F238" s="16" t="s">
        <v>143</v>
      </c>
      <c r="G238" s="17" t="s">
        <v>145</v>
      </c>
      <c r="H238" s="18" t="s">
        <v>146</v>
      </c>
      <c r="I238" s="19" t="s">
        <v>149</v>
      </c>
      <c r="J238" s="17" t="s">
        <v>145</v>
      </c>
      <c r="K238" s="18" t="s">
        <v>146</v>
      </c>
      <c r="L238" s="19" t="s">
        <v>149</v>
      </c>
      <c r="M238" s="17" t="s">
        <v>145</v>
      </c>
      <c r="N238" s="18" t="s">
        <v>146</v>
      </c>
      <c r="O238" s="19" t="s">
        <v>149</v>
      </c>
    </row>
    <row r="239" spans="2:15" ht="15" thickBot="1" x14ac:dyDescent="0.35">
      <c r="B239" s="20" t="s">
        <v>163</v>
      </c>
      <c r="C239" s="22" t="s">
        <v>167</v>
      </c>
      <c r="D239" s="21" t="s">
        <v>168</v>
      </c>
      <c r="E239" s="21" t="s">
        <v>151</v>
      </c>
      <c r="F239" s="21" t="s">
        <v>144</v>
      </c>
      <c r="G239" s="21" t="s">
        <v>147</v>
      </c>
      <c r="H239" s="21" t="s">
        <v>148</v>
      </c>
      <c r="I239" s="21" t="s">
        <v>150</v>
      </c>
      <c r="J239" s="21" t="s">
        <v>153</v>
      </c>
      <c r="K239" s="21" t="s">
        <v>154</v>
      </c>
      <c r="L239" s="21" t="s">
        <v>155</v>
      </c>
      <c r="M239" s="21" t="s">
        <v>156</v>
      </c>
      <c r="N239" s="21" t="s">
        <v>157</v>
      </c>
      <c r="O239" s="21" t="s">
        <v>158</v>
      </c>
    </row>
    <row r="240" spans="2:15" ht="15" thickBot="1" x14ac:dyDescent="0.35">
      <c r="B240" s="3">
        <v>1</v>
      </c>
      <c r="C240" s="1">
        <v>18</v>
      </c>
      <c r="D240" s="1">
        <v>22</v>
      </c>
      <c r="E240" s="1" t="s">
        <v>159</v>
      </c>
      <c r="F240" s="1">
        <f>(18+22)/2</f>
        <v>20</v>
      </c>
      <c r="G240" s="1">
        <v>29</v>
      </c>
      <c r="H240" s="1" t="e">
        <f>G240/G247</f>
        <v>#DIV/0!</v>
      </c>
      <c r="I240" s="1" t="e">
        <f>H240*100</f>
        <v>#DIV/0!</v>
      </c>
      <c r="J240" s="1">
        <f>G240</f>
        <v>29</v>
      </c>
      <c r="K240" s="1" t="e">
        <f>H240</f>
        <v>#DIV/0!</v>
      </c>
      <c r="L240" s="1" t="e">
        <f>I240</f>
        <v>#DIV/0!</v>
      </c>
      <c r="M240" s="1">
        <f t="shared" ref="M240:M245" si="59">M241+G240</f>
        <v>50</v>
      </c>
      <c r="N240" s="1" t="e">
        <f t="shared" ref="N240:N245" si="60">N241+H240</f>
        <v>#DIV/0!</v>
      </c>
      <c r="O240" s="1" t="e">
        <f t="shared" ref="O240:O245" si="61">O241+I240</f>
        <v>#DIV/0!</v>
      </c>
    </row>
    <row r="241" spans="2:15" ht="15" thickBot="1" x14ac:dyDescent="0.35">
      <c r="B241" s="3">
        <v>2</v>
      </c>
      <c r="C241" s="1">
        <v>22</v>
      </c>
      <c r="D241" s="1">
        <v>26</v>
      </c>
      <c r="E241" s="1" t="s">
        <v>160</v>
      </c>
      <c r="F241" s="1">
        <f>(22+26)/2</f>
        <v>24</v>
      </c>
      <c r="G241" s="1">
        <v>12</v>
      </c>
      <c r="H241" s="1" t="e">
        <f>G241/G247</f>
        <v>#DIV/0!</v>
      </c>
      <c r="I241" s="1" t="e">
        <f t="shared" ref="I241:I246" si="62">H241*100</f>
        <v>#DIV/0!</v>
      </c>
      <c r="J241" s="1">
        <f t="shared" ref="J241:J246" si="63">J240+G241</f>
        <v>41</v>
      </c>
      <c r="K241" s="1" t="e">
        <f t="shared" ref="K241:K246" si="64">K240+H241</f>
        <v>#DIV/0!</v>
      </c>
      <c r="L241" s="1" t="e">
        <f t="shared" ref="L241:L246" si="65">L240+I241</f>
        <v>#DIV/0!</v>
      </c>
      <c r="M241" s="1">
        <f t="shared" si="59"/>
        <v>21</v>
      </c>
      <c r="N241" s="1" t="e">
        <f t="shared" si="60"/>
        <v>#DIV/0!</v>
      </c>
      <c r="O241" s="1" t="e">
        <f t="shared" si="61"/>
        <v>#DIV/0!</v>
      </c>
    </row>
    <row r="242" spans="2:15" ht="15" thickBot="1" x14ac:dyDescent="0.35">
      <c r="B242" s="3">
        <v>3</v>
      </c>
      <c r="C242" s="1">
        <v>26</v>
      </c>
      <c r="D242" s="1">
        <v>30</v>
      </c>
      <c r="E242" s="1" t="s">
        <v>161</v>
      </c>
      <c r="F242" s="1">
        <f>(26+30)/2</f>
        <v>28</v>
      </c>
      <c r="G242" s="1">
        <v>6</v>
      </c>
      <c r="H242" s="1" t="e">
        <f>G242/G247</f>
        <v>#DIV/0!</v>
      </c>
      <c r="I242" s="1" t="e">
        <f t="shared" si="62"/>
        <v>#DIV/0!</v>
      </c>
      <c r="J242" s="1">
        <f t="shared" si="63"/>
        <v>47</v>
      </c>
      <c r="K242" s="1" t="e">
        <f t="shared" si="64"/>
        <v>#DIV/0!</v>
      </c>
      <c r="L242" s="1" t="e">
        <f t="shared" si="65"/>
        <v>#DIV/0!</v>
      </c>
      <c r="M242" s="1">
        <f t="shared" si="59"/>
        <v>9</v>
      </c>
      <c r="N242" s="1" t="e">
        <f t="shared" si="60"/>
        <v>#DIV/0!</v>
      </c>
      <c r="O242" s="1" t="e">
        <f t="shared" si="61"/>
        <v>#DIV/0!</v>
      </c>
    </row>
    <row r="243" spans="2:15" ht="15" thickBot="1" x14ac:dyDescent="0.35">
      <c r="B243" s="23">
        <v>4</v>
      </c>
      <c r="C243" s="24">
        <v>30</v>
      </c>
      <c r="D243" s="24">
        <v>34</v>
      </c>
      <c r="E243" s="24" t="s">
        <v>137</v>
      </c>
      <c r="F243" s="24">
        <f>(30+34)/2</f>
        <v>32</v>
      </c>
      <c r="G243" s="24">
        <v>0</v>
      </c>
      <c r="H243" s="24" t="e">
        <f>G243/G247</f>
        <v>#DIV/0!</v>
      </c>
      <c r="I243" s="24" t="e">
        <f t="shared" si="62"/>
        <v>#DIV/0!</v>
      </c>
      <c r="J243" s="24">
        <f t="shared" si="63"/>
        <v>47</v>
      </c>
      <c r="K243" s="24" t="e">
        <f t="shared" si="64"/>
        <v>#DIV/0!</v>
      </c>
      <c r="L243" s="24" t="e">
        <f t="shared" si="65"/>
        <v>#DIV/0!</v>
      </c>
      <c r="M243" s="24">
        <f t="shared" si="59"/>
        <v>3</v>
      </c>
      <c r="N243" s="24" t="e">
        <f t="shared" si="60"/>
        <v>#DIV/0!</v>
      </c>
      <c r="O243" s="24" t="e">
        <f t="shared" si="61"/>
        <v>#DIV/0!</v>
      </c>
    </row>
    <row r="244" spans="2:15" ht="15" thickBot="1" x14ac:dyDescent="0.35">
      <c r="B244" s="3">
        <v>5</v>
      </c>
      <c r="C244" s="1">
        <v>34</v>
      </c>
      <c r="D244" s="1">
        <v>38</v>
      </c>
      <c r="E244" s="1" t="s">
        <v>162</v>
      </c>
      <c r="F244" s="1">
        <f>(34+38)/2</f>
        <v>36</v>
      </c>
      <c r="G244" s="1">
        <v>1</v>
      </c>
      <c r="H244" s="1" t="e">
        <f>G244/G247</f>
        <v>#DIV/0!</v>
      </c>
      <c r="I244" s="1" t="e">
        <f t="shared" si="62"/>
        <v>#DIV/0!</v>
      </c>
      <c r="J244" s="1">
        <f t="shared" si="63"/>
        <v>48</v>
      </c>
      <c r="K244" s="1" t="e">
        <f t="shared" si="64"/>
        <v>#DIV/0!</v>
      </c>
      <c r="L244" s="1" t="e">
        <f t="shared" si="65"/>
        <v>#DIV/0!</v>
      </c>
      <c r="M244" s="1">
        <f t="shared" si="59"/>
        <v>3</v>
      </c>
      <c r="N244" s="1" t="e">
        <f t="shared" si="60"/>
        <v>#DIV/0!</v>
      </c>
      <c r="O244" s="1" t="e">
        <f t="shared" si="61"/>
        <v>#DIV/0!</v>
      </c>
    </row>
    <row r="245" spans="2:15" ht="15" thickBot="1" x14ac:dyDescent="0.35">
      <c r="B245" s="3">
        <v>6</v>
      </c>
      <c r="C245" s="1">
        <v>38</v>
      </c>
      <c r="D245" s="1">
        <v>42</v>
      </c>
      <c r="E245" s="1" t="s">
        <v>162</v>
      </c>
      <c r="F245" s="1">
        <f>(38+42)/2</f>
        <v>40</v>
      </c>
      <c r="G245" s="1">
        <v>1</v>
      </c>
      <c r="H245" s="1" t="e">
        <f>G245/G247</f>
        <v>#DIV/0!</v>
      </c>
      <c r="I245" s="1" t="e">
        <f t="shared" si="62"/>
        <v>#DIV/0!</v>
      </c>
      <c r="J245" s="1">
        <f t="shared" si="63"/>
        <v>49</v>
      </c>
      <c r="K245" s="1" t="e">
        <f t="shared" si="64"/>
        <v>#DIV/0!</v>
      </c>
      <c r="L245" s="1" t="e">
        <f t="shared" si="65"/>
        <v>#DIV/0!</v>
      </c>
      <c r="M245" s="1">
        <f t="shared" si="59"/>
        <v>2</v>
      </c>
      <c r="N245" s="1" t="e">
        <f t="shared" si="60"/>
        <v>#DIV/0!</v>
      </c>
      <c r="O245" s="1" t="e">
        <f t="shared" si="61"/>
        <v>#DIV/0!</v>
      </c>
    </row>
    <row r="246" spans="2:15" ht="15" thickBot="1" x14ac:dyDescent="0.35">
      <c r="B246" s="3">
        <v>7</v>
      </c>
      <c r="C246" s="1">
        <v>42</v>
      </c>
      <c r="D246" s="1">
        <v>46</v>
      </c>
      <c r="E246" s="1" t="s">
        <v>162</v>
      </c>
      <c r="F246" s="1">
        <f>(42+46)/2</f>
        <v>44</v>
      </c>
      <c r="G246" s="2">
        <v>1</v>
      </c>
      <c r="H246" s="1" t="e">
        <f>G246/G247</f>
        <v>#DIV/0!</v>
      </c>
      <c r="I246" s="1" t="e">
        <f t="shared" si="62"/>
        <v>#DIV/0!</v>
      </c>
      <c r="J246" s="1">
        <f t="shared" si="63"/>
        <v>50</v>
      </c>
      <c r="K246" s="1" t="e">
        <f t="shared" si="64"/>
        <v>#DIV/0!</v>
      </c>
      <c r="L246" s="1" t="e">
        <f t="shared" si="65"/>
        <v>#DIV/0!</v>
      </c>
      <c r="M246" s="1">
        <f>G246</f>
        <v>1</v>
      </c>
      <c r="N246" s="1" t="e">
        <f>H246</f>
        <v>#DIV/0!</v>
      </c>
      <c r="O246" s="1" t="e">
        <f>I246</f>
        <v>#DIV/0!</v>
      </c>
    </row>
  </sheetData>
  <mergeCells count="18">
    <mergeCell ref="C18:D18"/>
    <mergeCell ref="G120:I120"/>
    <mergeCell ref="J120:L120"/>
    <mergeCell ref="G150:I150"/>
    <mergeCell ref="J150:L150"/>
    <mergeCell ref="G63:I63"/>
    <mergeCell ref="J63:L63"/>
    <mergeCell ref="C238:D238"/>
    <mergeCell ref="G178:I178"/>
    <mergeCell ref="J178:L178"/>
    <mergeCell ref="G209:I209"/>
    <mergeCell ref="J209:L209"/>
    <mergeCell ref="G88:I88"/>
    <mergeCell ref="J88:L88"/>
    <mergeCell ref="J17:L17"/>
    <mergeCell ref="M17:O17"/>
    <mergeCell ref="J237:L237"/>
    <mergeCell ref="M237:O237"/>
  </mergeCells>
  <pageMargins left="0.7" right="0.7" top="0.75" bottom="0.75" header="0.3" footer="0.3"/>
  <pageSetup paperSize="9" orientation="portrait" r:id="rId1"/>
  <ignoredErrors>
    <ignoredError sqref="G9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29EB-EAA9-4501-BD91-4B963D8690C4}">
  <sheetPr filterMode="1"/>
  <dimension ref="A1:P51"/>
  <sheetViews>
    <sheetView workbookViewId="0">
      <selection activeCell="H15" sqref="H15:H48"/>
    </sheetView>
  </sheetViews>
  <sheetFormatPr baseColWidth="10" defaultRowHeight="14.4" x14ac:dyDescent="0.3"/>
  <cols>
    <col min="6" max="6" width="26.88671875" customWidth="1"/>
    <col min="9" max="9" width="32.33203125" customWidth="1"/>
  </cols>
  <sheetData>
    <row r="1" spans="1:16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6" hidden="1" x14ac:dyDescent="0.3">
      <c r="A2">
        <v>1</v>
      </c>
      <c r="B2" t="s">
        <v>60</v>
      </c>
      <c r="C2" t="s">
        <v>61</v>
      </c>
      <c r="D2">
        <v>22</v>
      </c>
      <c r="E2" t="s">
        <v>13</v>
      </c>
      <c r="F2" t="s">
        <v>21</v>
      </c>
      <c r="G2" t="s">
        <v>27</v>
      </c>
      <c r="H2" t="s">
        <v>16</v>
      </c>
      <c r="I2" t="s">
        <v>62</v>
      </c>
      <c r="J2" t="s">
        <v>16</v>
      </c>
      <c r="K2" t="s">
        <v>206</v>
      </c>
      <c r="P2" t="s">
        <v>74</v>
      </c>
    </row>
    <row r="3" spans="1:16" hidden="1" x14ac:dyDescent="0.3">
      <c r="A3">
        <v>2</v>
      </c>
      <c r="B3" t="s">
        <v>125</v>
      </c>
      <c r="C3" t="s">
        <v>126</v>
      </c>
      <c r="D3">
        <v>19</v>
      </c>
      <c r="E3" t="s">
        <v>20</v>
      </c>
      <c r="F3" t="s">
        <v>51</v>
      </c>
      <c r="G3" t="s">
        <v>84</v>
      </c>
      <c r="H3" t="s">
        <v>16</v>
      </c>
      <c r="I3" t="s">
        <v>62</v>
      </c>
      <c r="J3" t="s">
        <v>16</v>
      </c>
      <c r="K3" t="s">
        <v>206</v>
      </c>
      <c r="P3" t="s">
        <v>74</v>
      </c>
    </row>
    <row r="4" spans="1:16" hidden="1" x14ac:dyDescent="0.3">
      <c r="A4">
        <v>3</v>
      </c>
      <c r="B4" t="s">
        <v>106</v>
      </c>
      <c r="C4" t="s">
        <v>107</v>
      </c>
      <c r="D4">
        <v>21</v>
      </c>
      <c r="E4" t="s">
        <v>20</v>
      </c>
      <c r="F4" t="s">
        <v>43</v>
      </c>
      <c r="G4" t="s">
        <v>27</v>
      </c>
      <c r="H4" t="s">
        <v>16</v>
      </c>
      <c r="I4" t="s">
        <v>108</v>
      </c>
      <c r="J4" t="s">
        <v>16</v>
      </c>
      <c r="K4" t="s">
        <v>206</v>
      </c>
      <c r="P4" t="s">
        <v>74</v>
      </c>
    </row>
    <row r="5" spans="1:16" hidden="1" x14ac:dyDescent="0.3">
      <c r="A5">
        <v>4</v>
      </c>
      <c r="B5" t="s">
        <v>37</v>
      </c>
      <c r="C5" t="s">
        <v>38</v>
      </c>
      <c r="D5">
        <v>24</v>
      </c>
      <c r="E5" t="s">
        <v>13</v>
      </c>
      <c r="F5" t="s">
        <v>39</v>
      </c>
      <c r="G5" t="s">
        <v>40</v>
      </c>
      <c r="H5" t="s">
        <v>16</v>
      </c>
      <c r="I5" t="s">
        <v>33</v>
      </c>
      <c r="J5" t="s">
        <v>23</v>
      </c>
      <c r="K5" t="s">
        <v>206</v>
      </c>
      <c r="P5" t="s">
        <v>40</v>
      </c>
    </row>
    <row r="6" spans="1:16" hidden="1" x14ac:dyDescent="0.3">
      <c r="A6">
        <v>5</v>
      </c>
      <c r="B6" t="s">
        <v>96</v>
      </c>
      <c r="C6" t="s">
        <v>97</v>
      </c>
      <c r="D6">
        <v>41</v>
      </c>
      <c r="E6" t="s">
        <v>20</v>
      </c>
      <c r="F6" t="s">
        <v>14</v>
      </c>
      <c r="G6" t="s">
        <v>84</v>
      </c>
      <c r="H6" t="s">
        <v>16</v>
      </c>
      <c r="I6" t="s">
        <v>33</v>
      </c>
      <c r="J6" t="s">
        <v>16</v>
      </c>
      <c r="K6" t="s">
        <v>206</v>
      </c>
      <c r="P6" t="s">
        <v>40</v>
      </c>
    </row>
    <row r="7" spans="1:16" hidden="1" x14ac:dyDescent="0.3">
      <c r="A7">
        <v>6</v>
      </c>
      <c r="B7" t="s">
        <v>102</v>
      </c>
      <c r="C7" t="s">
        <v>103</v>
      </c>
      <c r="D7">
        <v>20</v>
      </c>
      <c r="E7" t="s">
        <v>13</v>
      </c>
      <c r="F7" t="s">
        <v>14</v>
      </c>
      <c r="G7" t="s">
        <v>27</v>
      </c>
      <c r="H7" t="s">
        <v>16</v>
      </c>
      <c r="I7" t="s">
        <v>28</v>
      </c>
      <c r="J7" t="s">
        <v>16</v>
      </c>
      <c r="K7" t="s">
        <v>206</v>
      </c>
      <c r="M7">
        <v>2</v>
      </c>
      <c r="N7" t="s">
        <v>175</v>
      </c>
      <c r="P7" t="s">
        <v>40</v>
      </c>
    </row>
    <row r="8" spans="1:16" hidden="1" x14ac:dyDescent="0.3">
      <c r="A8">
        <v>7</v>
      </c>
      <c r="B8" t="s">
        <v>79</v>
      </c>
      <c r="C8" t="s">
        <v>80</v>
      </c>
      <c r="D8">
        <v>28</v>
      </c>
      <c r="E8" t="s">
        <v>13</v>
      </c>
      <c r="F8" t="s">
        <v>81</v>
      </c>
      <c r="G8" t="s">
        <v>74</v>
      </c>
      <c r="H8" t="s">
        <v>16</v>
      </c>
      <c r="I8" t="s">
        <v>17</v>
      </c>
      <c r="J8" t="s">
        <v>16</v>
      </c>
      <c r="K8" t="s">
        <v>206</v>
      </c>
      <c r="M8">
        <v>6</v>
      </c>
      <c r="N8" t="s">
        <v>177</v>
      </c>
      <c r="P8" t="s">
        <v>124</v>
      </c>
    </row>
    <row r="9" spans="1:16" hidden="1" x14ac:dyDescent="0.3">
      <c r="A9">
        <v>8</v>
      </c>
      <c r="B9" t="s">
        <v>11</v>
      </c>
      <c r="C9" t="s">
        <v>12</v>
      </c>
      <c r="D9">
        <v>22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16</v>
      </c>
      <c r="K9" t="s">
        <v>206</v>
      </c>
      <c r="M9">
        <v>9</v>
      </c>
      <c r="N9" t="s">
        <v>178</v>
      </c>
      <c r="P9" t="s">
        <v>15</v>
      </c>
    </row>
    <row r="10" spans="1:16" hidden="1" x14ac:dyDescent="0.3">
      <c r="A10">
        <v>9</v>
      </c>
      <c r="B10" t="s">
        <v>18</v>
      </c>
      <c r="C10" t="s">
        <v>19</v>
      </c>
      <c r="D10">
        <v>21</v>
      </c>
      <c r="E10" t="s">
        <v>20</v>
      </c>
      <c r="F10" t="s">
        <v>21</v>
      </c>
      <c r="G10" t="s">
        <v>22</v>
      </c>
      <c r="H10" t="s">
        <v>16</v>
      </c>
      <c r="I10" t="s">
        <v>17</v>
      </c>
      <c r="J10" t="s">
        <v>23</v>
      </c>
      <c r="K10" t="s">
        <v>206</v>
      </c>
      <c r="M10">
        <v>20</v>
      </c>
      <c r="N10" t="s">
        <v>174</v>
      </c>
      <c r="P10" t="s">
        <v>15</v>
      </c>
    </row>
    <row r="11" spans="1:16" hidden="1" x14ac:dyDescent="0.3">
      <c r="A11">
        <v>10</v>
      </c>
      <c r="B11" t="s">
        <v>29</v>
      </c>
      <c r="C11" t="s">
        <v>30</v>
      </c>
      <c r="D11">
        <v>34</v>
      </c>
      <c r="E11" t="s">
        <v>20</v>
      </c>
      <c r="F11" t="s">
        <v>14</v>
      </c>
      <c r="G11" t="s">
        <v>27</v>
      </c>
      <c r="H11" t="s">
        <v>16</v>
      </c>
      <c r="I11" t="s">
        <v>17</v>
      </c>
      <c r="J11" t="s">
        <v>16</v>
      </c>
      <c r="K11" t="s">
        <v>206</v>
      </c>
      <c r="M11">
        <v>7</v>
      </c>
      <c r="N11" t="s">
        <v>179</v>
      </c>
      <c r="P11" t="s">
        <v>15</v>
      </c>
    </row>
    <row r="12" spans="1:16" hidden="1" x14ac:dyDescent="0.3">
      <c r="A12">
        <v>11</v>
      </c>
      <c r="B12" t="s">
        <v>92</v>
      </c>
      <c r="C12" t="s">
        <v>93</v>
      </c>
      <c r="D12">
        <v>21</v>
      </c>
      <c r="E12" t="s">
        <v>20</v>
      </c>
      <c r="F12" t="s">
        <v>14</v>
      </c>
      <c r="G12" t="s">
        <v>27</v>
      </c>
      <c r="H12" t="s">
        <v>16</v>
      </c>
      <c r="I12" t="s">
        <v>17</v>
      </c>
      <c r="J12" t="s">
        <v>23</v>
      </c>
      <c r="K12" t="s">
        <v>206</v>
      </c>
      <c r="M12">
        <v>3</v>
      </c>
      <c r="N12" t="s">
        <v>180</v>
      </c>
      <c r="P12" t="s">
        <v>22</v>
      </c>
    </row>
    <row r="13" spans="1:16" hidden="1" x14ac:dyDescent="0.3">
      <c r="A13">
        <v>12</v>
      </c>
      <c r="B13" t="s">
        <v>115</v>
      </c>
      <c r="C13" t="s">
        <v>116</v>
      </c>
      <c r="D13">
        <v>19</v>
      </c>
      <c r="E13" t="s">
        <v>117</v>
      </c>
      <c r="F13" t="s">
        <v>14</v>
      </c>
      <c r="G13" t="s">
        <v>27</v>
      </c>
      <c r="H13" t="s">
        <v>16</v>
      </c>
      <c r="I13" t="s">
        <v>17</v>
      </c>
      <c r="J13" t="s">
        <v>16</v>
      </c>
      <c r="K13" t="s">
        <v>206</v>
      </c>
      <c r="M13">
        <v>2</v>
      </c>
      <c r="N13" t="s">
        <v>181</v>
      </c>
      <c r="P13" t="s">
        <v>22</v>
      </c>
    </row>
    <row r="14" spans="1:16" hidden="1" x14ac:dyDescent="0.3">
      <c r="A14">
        <v>13</v>
      </c>
      <c r="B14" t="s">
        <v>65</v>
      </c>
      <c r="C14" t="s">
        <v>66</v>
      </c>
      <c r="D14">
        <v>27</v>
      </c>
      <c r="E14" t="s">
        <v>20</v>
      </c>
      <c r="F14" t="s">
        <v>43</v>
      </c>
      <c r="G14" t="s">
        <v>27</v>
      </c>
      <c r="H14" t="s">
        <v>16</v>
      </c>
      <c r="I14" t="s">
        <v>17</v>
      </c>
      <c r="J14" t="s">
        <v>23</v>
      </c>
      <c r="K14" t="s">
        <v>206</v>
      </c>
      <c r="M14">
        <v>1</v>
      </c>
      <c r="N14" t="s">
        <v>176</v>
      </c>
      <c r="P14" t="s">
        <v>27</v>
      </c>
    </row>
    <row r="15" spans="1:16" x14ac:dyDescent="0.3">
      <c r="A15">
        <v>14</v>
      </c>
      <c r="B15" t="s">
        <v>127</v>
      </c>
      <c r="C15" t="s">
        <v>128</v>
      </c>
      <c r="D15">
        <v>20</v>
      </c>
      <c r="E15" t="s">
        <v>20</v>
      </c>
      <c r="F15" t="s">
        <v>43</v>
      </c>
      <c r="G15" t="s">
        <v>27</v>
      </c>
      <c r="H15" t="s">
        <v>23</v>
      </c>
      <c r="I15" t="s">
        <v>17</v>
      </c>
      <c r="J15" t="s">
        <v>16</v>
      </c>
      <c r="K15" t="s">
        <v>206</v>
      </c>
      <c r="P15" t="s">
        <v>27</v>
      </c>
    </row>
    <row r="16" spans="1:16" hidden="1" x14ac:dyDescent="0.3">
      <c r="A16">
        <v>15</v>
      </c>
      <c r="B16" t="s">
        <v>94</v>
      </c>
      <c r="C16" t="s">
        <v>95</v>
      </c>
      <c r="D16">
        <v>27</v>
      </c>
      <c r="E16" t="s">
        <v>20</v>
      </c>
      <c r="F16" t="s">
        <v>26</v>
      </c>
      <c r="G16" t="s">
        <v>27</v>
      </c>
      <c r="H16" t="s">
        <v>16</v>
      </c>
      <c r="I16" t="s">
        <v>17</v>
      </c>
      <c r="J16" t="s">
        <v>23</v>
      </c>
      <c r="K16" t="s">
        <v>206</v>
      </c>
      <c r="P16" t="s">
        <v>27</v>
      </c>
    </row>
    <row r="17" spans="1:16" hidden="1" x14ac:dyDescent="0.3">
      <c r="A17">
        <v>16</v>
      </c>
      <c r="B17" t="s">
        <v>109</v>
      </c>
      <c r="C17" t="s">
        <v>110</v>
      </c>
      <c r="D17">
        <v>23</v>
      </c>
      <c r="E17" t="s">
        <v>20</v>
      </c>
      <c r="F17" t="s">
        <v>21</v>
      </c>
      <c r="G17" t="s">
        <v>27</v>
      </c>
      <c r="H17" t="s">
        <v>16</v>
      </c>
      <c r="I17" t="s">
        <v>17</v>
      </c>
      <c r="J17" t="s">
        <v>16</v>
      </c>
      <c r="K17" t="s">
        <v>206</v>
      </c>
      <c r="P17" t="s">
        <v>27</v>
      </c>
    </row>
    <row r="18" spans="1:16" hidden="1" x14ac:dyDescent="0.3">
      <c r="A18">
        <v>17</v>
      </c>
      <c r="B18" t="s">
        <v>98</v>
      </c>
      <c r="C18" t="s">
        <v>99</v>
      </c>
      <c r="D18">
        <v>19</v>
      </c>
      <c r="E18" t="s">
        <v>13</v>
      </c>
      <c r="F18" t="s">
        <v>14</v>
      </c>
      <c r="G18" t="s">
        <v>84</v>
      </c>
      <c r="H18" t="s">
        <v>16</v>
      </c>
      <c r="I18" t="s">
        <v>17</v>
      </c>
      <c r="J18" t="s">
        <v>16</v>
      </c>
      <c r="K18" t="s">
        <v>206</v>
      </c>
      <c r="P18" t="s">
        <v>27</v>
      </c>
    </row>
    <row r="19" spans="1:16" x14ac:dyDescent="0.3">
      <c r="A19">
        <v>18</v>
      </c>
      <c r="B19" t="s">
        <v>82</v>
      </c>
      <c r="C19" t="s">
        <v>83</v>
      </c>
      <c r="D19">
        <v>19</v>
      </c>
      <c r="E19" t="s">
        <v>13</v>
      </c>
      <c r="F19" t="s">
        <v>54</v>
      </c>
      <c r="G19" t="s">
        <v>84</v>
      </c>
      <c r="H19" t="s">
        <v>23</v>
      </c>
      <c r="I19" t="s">
        <v>17</v>
      </c>
      <c r="J19" t="s">
        <v>16</v>
      </c>
      <c r="K19" t="s">
        <v>206</v>
      </c>
      <c r="P19" t="s">
        <v>27</v>
      </c>
    </row>
    <row r="20" spans="1:16" hidden="1" x14ac:dyDescent="0.3">
      <c r="A20">
        <v>19</v>
      </c>
      <c r="B20" t="s">
        <v>72</v>
      </c>
      <c r="C20" t="s">
        <v>73</v>
      </c>
      <c r="D20">
        <v>20</v>
      </c>
      <c r="E20" t="s">
        <v>20</v>
      </c>
      <c r="F20" t="s">
        <v>14</v>
      </c>
      <c r="G20" t="s">
        <v>74</v>
      </c>
      <c r="H20" t="s">
        <v>16</v>
      </c>
      <c r="I20" t="s">
        <v>33</v>
      </c>
      <c r="J20" t="s">
        <v>16</v>
      </c>
      <c r="K20" t="s">
        <v>207</v>
      </c>
      <c r="P20" t="s">
        <v>27</v>
      </c>
    </row>
    <row r="21" spans="1:16" hidden="1" x14ac:dyDescent="0.3">
      <c r="A21">
        <v>20</v>
      </c>
      <c r="B21" t="s">
        <v>34</v>
      </c>
      <c r="C21" t="s">
        <v>35</v>
      </c>
      <c r="D21">
        <v>22</v>
      </c>
      <c r="E21" t="s">
        <v>20</v>
      </c>
      <c r="F21" t="s">
        <v>14</v>
      </c>
      <c r="G21" t="s">
        <v>27</v>
      </c>
      <c r="H21" t="s">
        <v>16</v>
      </c>
      <c r="I21" t="s">
        <v>33</v>
      </c>
      <c r="J21" t="s">
        <v>16</v>
      </c>
      <c r="K21" t="s">
        <v>207</v>
      </c>
      <c r="P21" t="s">
        <v>27</v>
      </c>
    </row>
    <row r="22" spans="1:16" hidden="1" x14ac:dyDescent="0.3">
      <c r="A22">
        <v>21</v>
      </c>
      <c r="B22" t="s">
        <v>36</v>
      </c>
      <c r="C22" t="s">
        <v>35</v>
      </c>
      <c r="D22">
        <v>22</v>
      </c>
      <c r="E22" t="s">
        <v>20</v>
      </c>
      <c r="F22" t="s">
        <v>14</v>
      </c>
      <c r="G22" t="s">
        <v>27</v>
      </c>
      <c r="H22" t="s">
        <v>16</v>
      </c>
      <c r="I22" t="s">
        <v>33</v>
      </c>
      <c r="J22" t="s">
        <v>16</v>
      </c>
      <c r="K22" t="s">
        <v>207</v>
      </c>
      <c r="P22" t="s">
        <v>27</v>
      </c>
    </row>
    <row r="23" spans="1:16" hidden="1" x14ac:dyDescent="0.3">
      <c r="A23">
        <v>22</v>
      </c>
      <c r="B23" t="s">
        <v>129</v>
      </c>
      <c r="C23" t="s">
        <v>130</v>
      </c>
      <c r="D23">
        <v>19</v>
      </c>
      <c r="E23" t="s">
        <v>20</v>
      </c>
      <c r="F23" t="s">
        <v>14</v>
      </c>
      <c r="G23" t="s">
        <v>27</v>
      </c>
      <c r="H23" t="s">
        <v>16</v>
      </c>
      <c r="I23" t="s">
        <v>33</v>
      </c>
      <c r="J23" t="s">
        <v>16</v>
      </c>
      <c r="K23" t="s">
        <v>207</v>
      </c>
      <c r="P23" t="s">
        <v>27</v>
      </c>
    </row>
    <row r="24" spans="1:16" hidden="1" x14ac:dyDescent="0.3">
      <c r="A24">
        <v>23</v>
      </c>
      <c r="B24" t="s">
        <v>31</v>
      </c>
      <c r="C24" t="s">
        <v>32</v>
      </c>
      <c r="D24">
        <v>20</v>
      </c>
      <c r="E24" t="s">
        <v>20</v>
      </c>
      <c r="F24" t="s">
        <v>21</v>
      </c>
      <c r="G24" t="s">
        <v>27</v>
      </c>
      <c r="H24" t="s">
        <v>16</v>
      </c>
      <c r="I24" t="s">
        <v>33</v>
      </c>
      <c r="J24" t="s">
        <v>16</v>
      </c>
      <c r="K24" t="s">
        <v>207</v>
      </c>
      <c r="P24" t="s">
        <v>27</v>
      </c>
    </row>
    <row r="25" spans="1:16" hidden="1" x14ac:dyDescent="0.3">
      <c r="A25">
        <v>24</v>
      </c>
      <c r="B25" t="s">
        <v>67</v>
      </c>
      <c r="C25" t="s">
        <v>68</v>
      </c>
      <c r="D25">
        <v>28</v>
      </c>
      <c r="E25" t="s">
        <v>20</v>
      </c>
      <c r="F25" t="s">
        <v>21</v>
      </c>
      <c r="G25" t="s">
        <v>27</v>
      </c>
      <c r="H25" t="s">
        <v>16</v>
      </c>
      <c r="I25" t="s">
        <v>33</v>
      </c>
      <c r="J25" t="s">
        <v>23</v>
      </c>
      <c r="K25" t="s">
        <v>207</v>
      </c>
      <c r="P25" t="s">
        <v>27</v>
      </c>
    </row>
    <row r="26" spans="1:16" x14ac:dyDescent="0.3">
      <c r="A26">
        <v>25</v>
      </c>
      <c r="B26" t="s">
        <v>46</v>
      </c>
      <c r="C26" t="s">
        <v>47</v>
      </c>
      <c r="D26">
        <v>23</v>
      </c>
      <c r="E26" t="s">
        <v>13</v>
      </c>
      <c r="F26" t="s">
        <v>14</v>
      </c>
      <c r="G26" t="s">
        <v>48</v>
      </c>
      <c r="H26" t="s">
        <v>23</v>
      </c>
      <c r="I26" t="s">
        <v>33</v>
      </c>
      <c r="J26" t="s">
        <v>16</v>
      </c>
      <c r="K26" t="s">
        <v>207</v>
      </c>
      <c r="P26" t="s">
        <v>27</v>
      </c>
    </row>
    <row r="27" spans="1:16" hidden="1" x14ac:dyDescent="0.3">
      <c r="A27">
        <v>26</v>
      </c>
      <c r="B27" t="s">
        <v>113</v>
      </c>
      <c r="C27" t="s">
        <v>114</v>
      </c>
      <c r="D27">
        <v>20</v>
      </c>
      <c r="E27" t="s">
        <v>13</v>
      </c>
      <c r="F27" t="s">
        <v>21</v>
      </c>
      <c r="G27" t="s">
        <v>15</v>
      </c>
      <c r="H27" t="s">
        <v>16</v>
      </c>
      <c r="I27" t="s">
        <v>28</v>
      </c>
      <c r="J27" t="s">
        <v>16</v>
      </c>
      <c r="K27" t="s">
        <v>207</v>
      </c>
      <c r="P27" t="s">
        <v>27</v>
      </c>
    </row>
    <row r="28" spans="1:16" hidden="1" x14ac:dyDescent="0.3">
      <c r="A28">
        <v>27</v>
      </c>
      <c r="B28" t="s">
        <v>135</v>
      </c>
      <c r="C28" t="s">
        <v>136</v>
      </c>
      <c r="D28">
        <v>19</v>
      </c>
      <c r="E28" t="s">
        <v>13</v>
      </c>
      <c r="F28" t="s">
        <v>14</v>
      </c>
      <c r="G28" t="s">
        <v>27</v>
      </c>
      <c r="H28" t="s">
        <v>16</v>
      </c>
      <c r="I28" t="s">
        <v>28</v>
      </c>
      <c r="J28" t="s">
        <v>16</v>
      </c>
      <c r="K28" t="s">
        <v>207</v>
      </c>
      <c r="P28" t="s">
        <v>27</v>
      </c>
    </row>
    <row r="29" spans="1:16" hidden="1" x14ac:dyDescent="0.3">
      <c r="A29">
        <v>28</v>
      </c>
      <c r="B29" t="s">
        <v>24</v>
      </c>
      <c r="C29" t="s">
        <v>25</v>
      </c>
      <c r="D29">
        <v>21</v>
      </c>
      <c r="E29" t="s">
        <v>20</v>
      </c>
      <c r="F29" t="s">
        <v>26</v>
      </c>
      <c r="G29" t="s">
        <v>27</v>
      </c>
      <c r="H29" t="s">
        <v>16</v>
      </c>
      <c r="I29" t="s">
        <v>28</v>
      </c>
      <c r="J29" t="s">
        <v>23</v>
      </c>
      <c r="K29" t="s">
        <v>207</v>
      </c>
      <c r="P29" t="s">
        <v>27</v>
      </c>
    </row>
    <row r="30" spans="1:16" hidden="1" x14ac:dyDescent="0.3">
      <c r="A30">
        <v>29</v>
      </c>
      <c r="B30" t="s">
        <v>58</v>
      </c>
      <c r="C30" t="s">
        <v>59</v>
      </c>
      <c r="D30">
        <v>27</v>
      </c>
      <c r="E30" t="s">
        <v>20</v>
      </c>
      <c r="F30" t="s">
        <v>14</v>
      </c>
      <c r="G30" t="s">
        <v>22</v>
      </c>
      <c r="H30" t="s">
        <v>16</v>
      </c>
      <c r="I30" t="s">
        <v>17</v>
      </c>
      <c r="J30" t="s">
        <v>23</v>
      </c>
      <c r="K30" t="s">
        <v>207</v>
      </c>
      <c r="P30" t="s">
        <v>27</v>
      </c>
    </row>
    <row r="31" spans="1:16" x14ac:dyDescent="0.3">
      <c r="A31">
        <v>30</v>
      </c>
      <c r="B31" t="s">
        <v>88</v>
      </c>
      <c r="C31" t="s">
        <v>89</v>
      </c>
      <c r="D31">
        <v>19</v>
      </c>
      <c r="E31" t="s">
        <v>20</v>
      </c>
      <c r="F31" t="s">
        <v>14</v>
      </c>
      <c r="G31" t="s">
        <v>27</v>
      </c>
      <c r="H31" t="s">
        <v>23</v>
      </c>
      <c r="I31" t="s">
        <v>17</v>
      </c>
      <c r="J31" t="s">
        <v>16</v>
      </c>
      <c r="K31" t="s">
        <v>207</v>
      </c>
      <c r="P31" t="s">
        <v>27</v>
      </c>
    </row>
    <row r="32" spans="1:16" x14ac:dyDescent="0.3">
      <c r="A32">
        <v>31</v>
      </c>
      <c r="B32" t="s">
        <v>111</v>
      </c>
      <c r="C32" t="s">
        <v>112</v>
      </c>
      <c r="D32">
        <v>21</v>
      </c>
      <c r="E32" t="s">
        <v>20</v>
      </c>
      <c r="F32" t="s">
        <v>14</v>
      </c>
      <c r="G32" t="s">
        <v>27</v>
      </c>
      <c r="H32" t="s">
        <v>23</v>
      </c>
      <c r="I32" t="s">
        <v>17</v>
      </c>
      <c r="J32" t="s">
        <v>16</v>
      </c>
      <c r="K32" t="s">
        <v>207</v>
      </c>
      <c r="P32" t="s">
        <v>27</v>
      </c>
    </row>
    <row r="33" spans="1:16" hidden="1" x14ac:dyDescent="0.3">
      <c r="A33">
        <v>32</v>
      </c>
      <c r="B33" t="s">
        <v>131</v>
      </c>
      <c r="C33" t="s">
        <v>132</v>
      </c>
      <c r="D33">
        <v>23</v>
      </c>
      <c r="E33" t="s">
        <v>20</v>
      </c>
      <c r="F33" t="s">
        <v>14</v>
      </c>
      <c r="G33" t="s">
        <v>27</v>
      </c>
      <c r="H33" t="s">
        <v>16</v>
      </c>
      <c r="I33" t="s">
        <v>17</v>
      </c>
      <c r="J33" t="s">
        <v>16</v>
      </c>
      <c r="K33" t="s">
        <v>207</v>
      </c>
      <c r="P33" t="s">
        <v>27</v>
      </c>
    </row>
    <row r="34" spans="1:16" hidden="1" x14ac:dyDescent="0.3">
      <c r="A34">
        <v>33</v>
      </c>
      <c r="B34" t="s">
        <v>133</v>
      </c>
      <c r="C34" t="s">
        <v>134</v>
      </c>
      <c r="D34">
        <v>26</v>
      </c>
      <c r="E34" t="s">
        <v>20</v>
      </c>
      <c r="F34" t="s">
        <v>14</v>
      </c>
      <c r="G34" t="s">
        <v>27</v>
      </c>
      <c r="H34" t="s">
        <v>16</v>
      </c>
      <c r="I34" t="s">
        <v>17</v>
      </c>
      <c r="J34" t="s">
        <v>16</v>
      </c>
      <c r="K34" t="s">
        <v>207</v>
      </c>
      <c r="P34" t="s">
        <v>27</v>
      </c>
    </row>
    <row r="35" spans="1:16" hidden="1" x14ac:dyDescent="0.3">
      <c r="A35">
        <v>34</v>
      </c>
      <c r="B35" t="s">
        <v>52</v>
      </c>
      <c r="C35" t="s">
        <v>53</v>
      </c>
      <c r="D35">
        <v>18</v>
      </c>
      <c r="E35" t="s">
        <v>13</v>
      </c>
      <c r="F35" t="s">
        <v>54</v>
      </c>
      <c r="G35" t="s">
        <v>27</v>
      </c>
      <c r="H35" t="s">
        <v>16</v>
      </c>
      <c r="I35" t="s">
        <v>17</v>
      </c>
      <c r="J35" t="s">
        <v>16</v>
      </c>
      <c r="K35" t="s">
        <v>207</v>
      </c>
      <c r="P35" t="s">
        <v>27</v>
      </c>
    </row>
    <row r="36" spans="1:16" hidden="1" x14ac:dyDescent="0.3">
      <c r="A36">
        <v>35</v>
      </c>
      <c r="B36" t="s">
        <v>69</v>
      </c>
      <c r="C36" t="s">
        <v>70</v>
      </c>
      <c r="D36">
        <v>19</v>
      </c>
      <c r="E36" t="s">
        <v>20</v>
      </c>
      <c r="F36" t="s">
        <v>54</v>
      </c>
      <c r="G36" t="s">
        <v>27</v>
      </c>
      <c r="H36" t="s">
        <v>16</v>
      </c>
      <c r="I36" t="s">
        <v>17</v>
      </c>
      <c r="J36" t="s">
        <v>16</v>
      </c>
      <c r="K36" t="s">
        <v>207</v>
      </c>
      <c r="P36" t="s">
        <v>27</v>
      </c>
    </row>
    <row r="37" spans="1:16" hidden="1" x14ac:dyDescent="0.3">
      <c r="A37">
        <v>36</v>
      </c>
      <c r="B37" t="s">
        <v>71</v>
      </c>
      <c r="C37" t="s">
        <v>70</v>
      </c>
      <c r="D37">
        <v>19</v>
      </c>
      <c r="E37" t="s">
        <v>20</v>
      </c>
      <c r="F37" t="s">
        <v>54</v>
      </c>
      <c r="G37" t="s">
        <v>27</v>
      </c>
      <c r="H37" t="s">
        <v>16</v>
      </c>
      <c r="I37" t="s">
        <v>17</v>
      </c>
      <c r="J37" t="s">
        <v>16</v>
      </c>
      <c r="K37" t="s">
        <v>207</v>
      </c>
      <c r="P37" t="s">
        <v>27</v>
      </c>
    </row>
    <row r="38" spans="1:16" hidden="1" x14ac:dyDescent="0.3">
      <c r="A38">
        <v>37</v>
      </c>
      <c r="B38" t="s">
        <v>85</v>
      </c>
      <c r="C38" t="s">
        <v>86</v>
      </c>
      <c r="D38">
        <v>19</v>
      </c>
      <c r="E38" t="s">
        <v>13</v>
      </c>
      <c r="F38" t="s">
        <v>54</v>
      </c>
      <c r="G38" t="s">
        <v>87</v>
      </c>
      <c r="H38" t="s">
        <v>16</v>
      </c>
      <c r="I38" t="s">
        <v>17</v>
      </c>
      <c r="J38" t="s">
        <v>23</v>
      </c>
      <c r="K38" t="s">
        <v>207</v>
      </c>
      <c r="P38" t="s">
        <v>27</v>
      </c>
    </row>
    <row r="39" spans="1:16" x14ac:dyDescent="0.3">
      <c r="A39">
        <v>38</v>
      </c>
      <c r="B39" t="s">
        <v>49</v>
      </c>
      <c r="C39" t="s">
        <v>50</v>
      </c>
      <c r="D39">
        <v>20</v>
      </c>
      <c r="E39" t="s">
        <v>13</v>
      </c>
      <c r="F39" t="s">
        <v>51</v>
      </c>
      <c r="G39" t="s">
        <v>48</v>
      </c>
      <c r="H39" t="s">
        <v>23</v>
      </c>
      <c r="I39" t="s">
        <v>17</v>
      </c>
      <c r="J39" t="s">
        <v>16</v>
      </c>
      <c r="K39" t="s">
        <v>207</v>
      </c>
      <c r="P39" t="s">
        <v>27</v>
      </c>
    </row>
    <row r="40" spans="1:16" hidden="1" x14ac:dyDescent="0.3">
      <c r="A40">
        <v>39</v>
      </c>
      <c r="B40" t="s">
        <v>118</v>
      </c>
      <c r="C40" t="s">
        <v>119</v>
      </c>
      <c r="D40">
        <v>19</v>
      </c>
      <c r="E40" t="s">
        <v>20</v>
      </c>
      <c r="F40" t="s">
        <v>14</v>
      </c>
      <c r="G40" t="s">
        <v>27</v>
      </c>
      <c r="H40" t="s">
        <v>16</v>
      </c>
      <c r="I40" t="s">
        <v>33</v>
      </c>
      <c r="J40" t="s">
        <v>16</v>
      </c>
      <c r="K40" t="s">
        <v>208</v>
      </c>
      <c r="P40" t="s">
        <v>27</v>
      </c>
    </row>
    <row r="41" spans="1:16" x14ac:dyDescent="0.3">
      <c r="A41">
        <v>40</v>
      </c>
      <c r="B41" t="s">
        <v>104</v>
      </c>
      <c r="C41" t="s">
        <v>105</v>
      </c>
      <c r="D41">
        <v>23</v>
      </c>
      <c r="E41" t="s">
        <v>20</v>
      </c>
      <c r="F41" t="s">
        <v>21</v>
      </c>
      <c r="G41" t="s">
        <v>27</v>
      </c>
      <c r="H41" t="s">
        <v>23</v>
      </c>
      <c r="I41" t="s">
        <v>33</v>
      </c>
      <c r="J41" t="s">
        <v>16</v>
      </c>
      <c r="K41" t="s">
        <v>208</v>
      </c>
      <c r="P41" t="s">
        <v>27</v>
      </c>
    </row>
    <row r="42" spans="1:16" hidden="1" x14ac:dyDescent="0.3">
      <c r="A42">
        <v>41</v>
      </c>
      <c r="B42" t="s">
        <v>77</v>
      </c>
      <c r="C42" t="s">
        <v>78</v>
      </c>
      <c r="D42">
        <v>42</v>
      </c>
      <c r="E42" t="s">
        <v>13</v>
      </c>
      <c r="F42" t="s">
        <v>26</v>
      </c>
      <c r="G42" t="s">
        <v>40</v>
      </c>
      <c r="H42" t="s">
        <v>16</v>
      </c>
      <c r="I42" t="s">
        <v>28</v>
      </c>
      <c r="J42" t="s">
        <v>16</v>
      </c>
      <c r="K42" t="s">
        <v>208</v>
      </c>
      <c r="P42" t="s">
        <v>27</v>
      </c>
    </row>
    <row r="43" spans="1:16" hidden="1" x14ac:dyDescent="0.3">
      <c r="A43">
        <v>42</v>
      </c>
      <c r="B43" t="s">
        <v>55</v>
      </c>
      <c r="C43" t="s">
        <v>56</v>
      </c>
      <c r="D43">
        <v>21</v>
      </c>
      <c r="E43" t="s">
        <v>13</v>
      </c>
      <c r="F43" t="s">
        <v>43</v>
      </c>
      <c r="G43" t="s">
        <v>57</v>
      </c>
      <c r="H43" t="s">
        <v>16</v>
      </c>
      <c r="I43" t="s">
        <v>28</v>
      </c>
      <c r="J43" t="s">
        <v>23</v>
      </c>
      <c r="K43" t="s">
        <v>208</v>
      </c>
      <c r="P43" t="s">
        <v>57</v>
      </c>
    </row>
    <row r="44" spans="1:16" x14ac:dyDescent="0.3">
      <c r="A44">
        <v>43</v>
      </c>
      <c r="B44" t="s">
        <v>90</v>
      </c>
      <c r="C44" t="s">
        <v>91</v>
      </c>
      <c r="D44">
        <v>21</v>
      </c>
      <c r="E44" t="s">
        <v>13</v>
      </c>
      <c r="F44" t="s">
        <v>54</v>
      </c>
      <c r="G44" t="s">
        <v>84</v>
      </c>
      <c r="H44" t="s">
        <v>23</v>
      </c>
      <c r="I44" t="s">
        <v>28</v>
      </c>
      <c r="J44" t="s">
        <v>16</v>
      </c>
      <c r="K44" t="s">
        <v>208</v>
      </c>
      <c r="P44" t="s">
        <v>87</v>
      </c>
    </row>
    <row r="45" spans="1:16" hidden="1" x14ac:dyDescent="0.3">
      <c r="A45">
        <v>44</v>
      </c>
      <c r="B45" t="s">
        <v>100</v>
      </c>
      <c r="C45" t="s">
        <v>101</v>
      </c>
      <c r="D45">
        <v>22</v>
      </c>
      <c r="E45" t="s">
        <v>20</v>
      </c>
      <c r="F45" t="s">
        <v>43</v>
      </c>
      <c r="G45" t="s">
        <v>40</v>
      </c>
      <c r="H45" t="s">
        <v>16</v>
      </c>
      <c r="I45" t="s">
        <v>17</v>
      </c>
      <c r="J45" t="s">
        <v>16</v>
      </c>
      <c r="K45" t="s">
        <v>208</v>
      </c>
      <c r="P45" t="s">
        <v>84</v>
      </c>
    </row>
    <row r="46" spans="1:16" x14ac:dyDescent="0.3">
      <c r="A46">
        <v>45</v>
      </c>
      <c r="B46" t="s">
        <v>122</v>
      </c>
      <c r="C46" t="s">
        <v>123</v>
      </c>
      <c r="D46">
        <v>20</v>
      </c>
      <c r="E46" t="s">
        <v>20</v>
      </c>
      <c r="F46" t="s">
        <v>14</v>
      </c>
      <c r="G46" t="s">
        <v>124</v>
      </c>
      <c r="H46" t="s">
        <v>23</v>
      </c>
      <c r="I46" t="s">
        <v>17</v>
      </c>
      <c r="J46" t="s">
        <v>23</v>
      </c>
      <c r="K46" t="s">
        <v>208</v>
      </c>
      <c r="P46" t="s">
        <v>84</v>
      </c>
    </row>
    <row r="47" spans="1:16" hidden="1" x14ac:dyDescent="0.3">
      <c r="A47">
        <v>46</v>
      </c>
      <c r="B47" t="s">
        <v>44</v>
      </c>
      <c r="C47" t="s">
        <v>45</v>
      </c>
      <c r="D47">
        <v>19</v>
      </c>
      <c r="E47" t="s">
        <v>13</v>
      </c>
      <c r="F47" t="s">
        <v>21</v>
      </c>
      <c r="G47" t="s">
        <v>15</v>
      </c>
      <c r="H47" t="s">
        <v>16</v>
      </c>
      <c r="I47" t="s">
        <v>17</v>
      </c>
      <c r="J47" t="s">
        <v>16</v>
      </c>
      <c r="K47" t="s">
        <v>208</v>
      </c>
      <c r="P47" t="s">
        <v>84</v>
      </c>
    </row>
    <row r="48" spans="1:16" x14ac:dyDescent="0.3">
      <c r="A48">
        <v>47</v>
      </c>
      <c r="B48" t="s">
        <v>63</v>
      </c>
      <c r="C48" t="s">
        <v>64</v>
      </c>
      <c r="D48">
        <v>21</v>
      </c>
      <c r="E48" t="s">
        <v>20</v>
      </c>
      <c r="F48" t="s">
        <v>43</v>
      </c>
      <c r="G48" t="s">
        <v>27</v>
      </c>
      <c r="H48" t="s">
        <v>23</v>
      </c>
      <c r="I48" t="s">
        <v>33</v>
      </c>
      <c r="J48" t="s">
        <v>16</v>
      </c>
      <c r="K48" t="s">
        <v>209</v>
      </c>
      <c r="P48" t="s">
        <v>84</v>
      </c>
    </row>
    <row r="49" spans="1:16" hidden="1" x14ac:dyDescent="0.3">
      <c r="A49">
        <v>48</v>
      </c>
      <c r="B49" t="s">
        <v>75</v>
      </c>
      <c r="C49" t="s">
        <v>76</v>
      </c>
      <c r="D49">
        <v>24</v>
      </c>
      <c r="E49" t="s">
        <v>13</v>
      </c>
      <c r="F49" t="s">
        <v>39</v>
      </c>
      <c r="G49" t="s">
        <v>74</v>
      </c>
      <c r="H49" t="s">
        <v>16</v>
      </c>
      <c r="I49" t="s">
        <v>17</v>
      </c>
      <c r="J49" t="s">
        <v>16</v>
      </c>
      <c r="K49" t="s">
        <v>209</v>
      </c>
      <c r="P49" t="s">
        <v>84</v>
      </c>
    </row>
    <row r="50" spans="1:16" hidden="1" x14ac:dyDescent="0.3">
      <c r="A50">
        <v>49</v>
      </c>
      <c r="B50" t="s">
        <v>41</v>
      </c>
      <c r="C50" t="s">
        <v>42</v>
      </c>
      <c r="D50">
        <v>20</v>
      </c>
      <c r="E50" t="s">
        <v>20</v>
      </c>
      <c r="F50" t="s">
        <v>43</v>
      </c>
      <c r="G50" t="s">
        <v>27</v>
      </c>
      <c r="H50" t="s">
        <v>16</v>
      </c>
      <c r="I50" t="s">
        <v>17</v>
      </c>
      <c r="J50" t="s">
        <v>23</v>
      </c>
      <c r="K50" t="s">
        <v>209</v>
      </c>
      <c r="P50" t="s">
        <v>48</v>
      </c>
    </row>
    <row r="51" spans="1:16" hidden="1" x14ac:dyDescent="0.3">
      <c r="A51">
        <v>50</v>
      </c>
      <c r="B51" t="s">
        <v>120</v>
      </c>
      <c r="C51" t="s">
        <v>121</v>
      </c>
      <c r="D51">
        <v>22</v>
      </c>
      <c r="E51" t="s">
        <v>20</v>
      </c>
      <c r="F51" t="s">
        <v>21</v>
      </c>
      <c r="G51" t="s">
        <v>27</v>
      </c>
      <c r="H51" t="s">
        <v>16</v>
      </c>
      <c r="I51" t="s">
        <v>28</v>
      </c>
      <c r="J51" t="s">
        <v>16</v>
      </c>
      <c r="K51" t="s">
        <v>209</v>
      </c>
      <c r="P51" t="s">
        <v>48</v>
      </c>
    </row>
  </sheetData>
  <autoFilter ref="B1:K51" xr:uid="{CFA1E918-E9CA-4856-993D-AF8E62AD28AE}">
    <filterColumn colId="6">
      <filters>
        <filter val="Si"/>
      </filters>
    </filterColumn>
    <sortState ref="B2:K51">
      <sortCondition ref="K1:K5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D61D-911C-4DA0-B47B-C7B0A5F3E258}">
  <dimension ref="A4:I54"/>
  <sheetViews>
    <sheetView topLeftCell="A4" workbookViewId="0">
      <selection activeCell="J26" sqref="J26"/>
    </sheetView>
  </sheetViews>
  <sheetFormatPr baseColWidth="10" defaultRowHeight="14.4" x14ac:dyDescent="0.3"/>
  <sheetData>
    <row r="4" spans="1:9" x14ac:dyDescent="0.3">
      <c r="B4" t="s">
        <v>211</v>
      </c>
      <c r="C4" t="s">
        <v>217</v>
      </c>
      <c r="D4" t="s">
        <v>211</v>
      </c>
      <c r="E4" t="s">
        <v>218</v>
      </c>
      <c r="H4" t="s">
        <v>201</v>
      </c>
      <c r="I4" t="s">
        <v>202</v>
      </c>
    </row>
    <row r="5" spans="1:9" ht="15" thickBot="1" x14ac:dyDescent="0.35">
      <c r="A5">
        <v>1</v>
      </c>
      <c r="B5">
        <v>24</v>
      </c>
      <c r="D5">
        <v>22</v>
      </c>
      <c r="E5">
        <f>(F5+G5)/2</f>
        <v>20</v>
      </c>
      <c r="F5" s="1">
        <v>18</v>
      </c>
      <c r="G5" s="1">
        <v>22</v>
      </c>
      <c r="H5">
        <v>8</v>
      </c>
      <c r="I5">
        <v>22</v>
      </c>
    </row>
    <row r="6" spans="1:9" ht="15" thickBot="1" x14ac:dyDescent="0.35">
      <c r="A6">
        <v>2</v>
      </c>
      <c r="B6">
        <v>21</v>
      </c>
      <c r="D6">
        <v>19</v>
      </c>
      <c r="E6">
        <v>24</v>
      </c>
      <c r="F6" s="1">
        <v>22</v>
      </c>
      <c r="G6" s="1">
        <v>26</v>
      </c>
      <c r="H6">
        <v>1</v>
      </c>
      <c r="I6">
        <v>11</v>
      </c>
    </row>
    <row r="7" spans="1:9" ht="15" thickBot="1" x14ac:dyDescent="0.35">
      <c r="A7">
        <v>3</v>
      </c>
      <c r="B7">
        <v>21</v>
      </c>
      <c r="D7">
        <v>21</v>
      </c>
      <c r="E7">
        <v>28</v>
      </c>
      <c r="F7" s="1">
        <v>26</v>
      </c>
      <c r="G7" s="1">
        <v>30</v>
      </c>
      <c r="H7">
        <v>4</v>
      </c>
      <c r="I7">
        <v>2</v>
      </c>
    </row>
    <row r="8" spans="1:9" ht="15" thickBot="1" x14ac:dyDescent="0.35">
      <c r="A8">
        <v>4</v>
      </c>
      <c r="B8">
        <v>27</v>
      </c>
      <c r="D8">
        <v>41</v>
      </c>
      <c r="E8">
        <v>32</v>
      </c>
      <c r="F8" s="24">
        <v>30</v>
      </c>
      <c r="G8" s="24">
        <v>34</v>
      </c>
      <c r="H8">
        <v>0</v>
      </c>
      <c r="I8">
        <v>0</v>
      </c>
    </row>
    <row r="9" spans="1:9" ht="15" thickBot="1" x14ac:dyDescent="0.35">
      <c r="A9">
        <v>5</v>
      </c>
      <c r="B9">
        <v>27</v>
      </c>
      <c r="D9">
        <v>20</v>
      </c>
      <c r="E9">
        <v>36</v>
      </c>
      <c r="F9" s="1">
        <v>34</v>
      </c>
      <c r="G9" s="1">
        <v>38</v>
      </c>
      <c r="H9">
        <v>0</v>
      </c>
      <c r="I9">
        <v>1</v>
      </c>
    </row>
    <row r="10" spans="1:9" ht="15" thickBot="1" x14ac:dyDescent="0.35">
      <c r="A10">
        <v>6</v>
      </c>
      <c r="B10">
        <v>28</v>
      </c>
      <c r="D10">
        <v>28</v>
      </c>
      <c r="E10">
        <v>40</v>
      </c>
      <c r="F10" s="1">
        <v>38</v>
      </c>
      <c r="G10" s="1">
        <v>42</v>
      </c>
      <c r="H10">
        <v>0</v>
      </c>
      <c r="I10">
        <v>0</v>
      </c>
    </row>
    <row r="11" spans="1:9" ht="15" thickBot="1" x14ac:dyDescent="0.35">
      <c r="A11">
        <v>7</v>
      </c>
      <c r="B11">
        <v>21</v>
      </c>
      <c r="D11">
        <v>22</v>
      </c>
      <c r="E11">
        <v>44</v>
      </c>
      <c r="F11" s="1">
        <v>42</v>
      </c>
      <c r="G11" s="1">
        <v>46</v>
      </c>
      <c r="H11">
        <v>0</v>
      </c>
      <c r="I11">
        <v>1</v>
      </c>
    </row>
    <row r="12" spans="1:9" x14ac:dyDescent="0.3">
      <c r="A12">
        <v>8</v>
      </c>
      <c r="B12">
        <v>27</v>
      </c>
      <c r="D12">
        <v>34</v>
      </c>
      <c r="H12">
        <f>H5+H6++H7</f>
        <v>13</v>
      </c>
      <c r="I12">
        <f>I11+I9+I7+I6+I5</f>
        <v>37</v>
      </c>
    </row>
    <row r="13" spans="1:9" ht="15" thickBot="1" x14ac:dyDescent="0.35">
      <c r="A13">
        <v>9</v>
      </c>
      <c r="B13">
        <v>19</v>
      </c>
      <c r="D13">
        <v>19</v>
      </c>
      <c r="F13" s="1" t="s">
        <v>219</v>
      </c>
    </row>
    <row r="14" spans="1:9" ht="15" thickBot="1" x14ac:dyDescent="0.35">
      <c r="A14">
        <v>10</v>
      </c>
      <c r="B14">
        <v>21</v>
      </c>
      <c r="D14">
        <v>20</v>
      </c>
      <c r="F14" s="1" t="s">
        <v>220</v>
      </c>
    </row>
    <row r="15" spans="1:9" ht="15" thickBot="1" x14ac:dyDescent="0.35">
      <c r="A15">
        <v>11</v>
      </c>
      <c r="B15">
        <v>20</v>
      </c>
      <c r="D15">
        <v>23</v>
      </c>
      <c r="F15" s="1" t="s">
        <v>221</v>
      </c>
    </row>
    <row r="16" spans="1:9" ht="15" thickBot="1" x14ac:dyDescent="0.35">
      <c r="A16">
        <v>12</v>
      </c>
      <c r="B16">
        <v>20</v>
      </c>
      <c r="D16">
        <v>19</v>
      </c>
      <c r="F16" s="24" t="s">
        <v>222</v>
      </c>
    </row>
    <row r="17" spans="1:6" ht="15" thickBot="1" x14ac:dyDescent="0.35">
      <c r="A17">
        <v>13</v>
      </c>
      <c r="D17">
        <v>19</v>
      </c>
      <c r="F17" s="1" t="s">
        <v>223</v>
      </c>
    </row>
    <row r="18" spans="1:6" ht="15" thickBot="1" x14ac:dyDescent="0.35">
      <c r="A18">
        <v>14</v>
      </c>
      <c r="D18">
        <v>20</v>
      </c>
      <c r="F18" s="1" t="s">
        <v>224</v>
      </c>
    </row>
    <row r="19" spans="1:6" ht="15" thickBot="1" x14ac:dyDescent="0.35">
      <c r="A19">
        <v>15</v>
      </c>
      <c r="D19">
        <v>22</v>
      </c>
      <c r="F19" s="1" t="s">
        <v>225</v>
      </c>
    </row>
    <row r="20" spans="1:6" x14ac:dyDescent="0.3">
      <c r="A20">
        <v>16</v>
      </c>
      <c r="D20">
        <v>22</v>
      </c>
    </row>
    <row r="21" spans="1:6" x14ac:dyDescent="0.3">
      <c r="A21">
        <v>17</v>
      </c>
      <c r="D21">
        <v>19</v>
      </c>
    </row>
    <row r="22" spans="1:6" x14ac:dyDescent="0.3">
      <c r="A22">
        <v>18</v>
      </c>
      <c r="D22">
        <v>20</v>
      </c>
    </row>
    <row r="23" spans="1:6" x14ac:dyDescent="0.3">
      <c r="A23">
        <v>19</v>
      </c>
      <c r="D23">
        <v>23</v>
      </c>
    </row>
    <row r="24" spans="1:6" x14ac:dyDescent="0.3">
      <c r="A24">
        <v>20</v>
      </c>
      <c r="D24">
        <v>20</v>
      </c>
    </row>
    <row r="25" spans="1:6" x14ac:dyDescent="0.3">
      <c r="A25">
        <v>21</v>
      </c>
      <c r="D25">
        <v>19</v>
      </c>
    </row>
    <row r="26" spans="1:6" x14ac:dyDescent="0.3">
      <c r="A26">
        <v>22</v>
      </c>
      <c r="D26">
        <v>19</v>
      </c>
    </row>
    <row r="27" spans="1:6" x14ac:dyDescent="0.3">
      <c r="A27">
        <v>23</v>
      </c>
      <c r="D27">
        <v>21</v>
      </c>
    </row>
    <row r="28" spans="1:6" x14ac:dyDescent="0.3">
      <c r="A28">
        <v>24</v>
      </c>
      <c r="D28">
        <v>23</v>
      </c>
    </row>
    <row r="29" spans="1:6" x14ac:dyDescent="0.3">
      <c r="A29">
        <v>25</v>
      </c>
      <c r="D29">
        <v>26</v>
      </c>
    </row>
    <row r="30" spans="1:6" x14ac:dyDescent="0.3">
      <c r="A30">
        <v>26</v>
      </c>
      <c r="D30">
        <v>18</v>
      </c>
    </row>
    <row r="31" spans="1:6" x14ac:dyDescent="0.3">
      <c r="A31">
        <v>27</v>
      </c>
      <c r="D31">
        <v>19</v>
      </c>
    </row>
    <row r="32" spans="1:6" x14ac:dyDescent="0.3">
      <c r="A32">
        <v>28</v>
      </c>
      <c r="D32">
        <v>19</v>
      </c>
    </row>
    <row r="33" spans="1:4" x14ac:dyDescent="0.3">
      <c r="A33">
        <v>29</v>
      </c>
      <c r="D33">
        <v>20</v>
      </c>
    </row>
    <row r="34" spans="1:4" x14ac:dyDescent="0.3">
      <c r="A34">
        <v>30</v>
      </c>
      <c r="D34">
        <v>19</v>
      </c>
    </row>
    <row r="35" spans="1:4" x14ac:dyDescent="0.3">
      <c r="A35">
        <v>31</v>
      </c>
      <c r="D35">
        <v>23</v>
      </c>
    </row>
    <row r="36" spans="1:4" x14ac:dyDescent="0.3">
      <c r="A36">
        <v>32</v>
      </c>
      <c r="D36">
        <v>42</v>
      </c>
    </row>
    <row r="37" spans="1:4" x14ac:dyDescent="0.3">
      <c r="A37">
        <v>33</v>
      </c>
      <c r="D37">
        <v>21</v>
      </c>
    </row>
    <row r="38" spans="1:4" x14ac:dyDescent="0.3">
      <c r="A38">
        <v>34</v>
      </c>
      <c r="D38">
        <v>22</v>
      </c>
    </row>
    <row r="39" spans="1:4" x14ac:dyDescent="0.3">
      <c r="A39">
        <v>35</v>
      </c>
      <c r="D39">
        <v>19</v>
      </c>
    </row>
    <row r="40" spans="1:4" x14ac:dyDescent="0.3">
      <c r="A40">
        <v>36</v>
      </c>
      <c r="D40">
        <v>21</v>
      </c>
    </row>
    <row r="41" spans="1:4" x14ac:dyDescent="0.3">
      <c r="A41">
        <v>37</v>
      </c>
      <c r="D41">
        <v>24</v>
      </c>
    </row>
    <row r="42" spans="1:4" x14ac:dyDescent="0.3">
      <c r="A42">
        <v>38</v>
      </c>
      <c r="D42">
        <v>22</v>
      </c>
    </row>
    <row r="43" spans="1:4" x14ac:dyDescent="0.3">
      <c r="A43">
        <v>39</v>
      </c>
    </row>
    <row r="44" spans="1:4" x14ac:dyDescent="0.3">
      <c r="A44">
        <v>40</v>
      </c>
    </row>
    <row r="45" spans="1:4" x14ac:dyDescent="0.3">
      <c r="A45">
        <v>41</v>
      </c>
    </row>
    <row r="46" spans="1:4" x14ac:dyDescent="0.3">
      <c r="A46">
        <v>42</v>
      </c>
    </row>
    <row r="47" spans="1:4" x14ac:dyDescent="0.3">
      <c r="A47">
        <v>43</v>
      </c>
    </row>
    <row r="48" spans="1:4" x14ac:dyDescent="0.3">
      <c r="A48">
        <v>44</v>
      </c>
    </row>
    <row r="49" spans="1:1" x14ac:dyDescent="0.3">
      <c r="A49">
        <v>45</v>
      </c>
    </row>
    <row r="50" spans="1:1" x14ac:dyDescent="0.3">
      <c r="A50">
        <v>46</v>
      </c>
    </row>
    <row r="51" spans="1:1" x14ac:dyDescent="0.3">
      <c r="A51">
        <v>47</v>
      </c>
    </row>
    <row r="52" spans="1:1" x14ac:dyDescent="0.3">
      <c r="A52">
        <v>48</v>
      </c>
    </row>
    <row r="53" spans="1:1" x14ac:dyDescent="0.3">
      <c r="A53">
        <v>49</v>
      </c>
    </row>
    <row r="54" spans="1:1" x14ac:dyDescent="0.3">
      <c r="A54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030D-9AE6-4995-9EFE-FB40A3EA6B23}">
  <dimension ref="A1"/>
  <sheetViews>
    <sheetView workbookViewId="0">
      <selection activeCell="C10" sqref="C10"/>
    </sheetView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37EA-C861-4C6D-93EF-635774021FFC}">
  <dimension ref="B5:H27"/>
  <sheetViews>
    <sheetView topLeftCell="A4" workbookViewId="0">
      <selection activeCell="H8" sqref="H8"/>
    </sheetView>
  </sheetViews>
  <sheetFormatPr baseColWidth="10" defaultRowHeight="14.4" x14ac:dyDescent="0.3"/>
  <cols>
    <col min="3" max="3" width="19.6640625" customWidth="1"/>
    <col min="4" max="5" width="11.6640625" bestFit="1" customWidth="1"/>
    <col min="6" max="6" width="16.44140625" customWidth="1"/>
    <col min="7" max="7" width="11.6640625" bestFit="1" customWidth="1"/>
    <col min="8" max="8" width="12.109375" bestFit="1" customWidth="1"/>
  </cols>
  <sheetData>
    <row r="5" spans="2:8" x14ac:dyDescent="0.3">
      <c r="B5" s="46" t="s">
        <v>235</v>
      </c>
      <c r="C5" s="46" t="s">
        <v>236</v>
      </c>
      <c r="D5" s="46" t="s">
        <v>235</v>
      </c>
      <c r="E5" s="46" t="s">
        <v>237</v>
      </c>
      <c r="F5" s="46" t="s">
        <v>238</v>
      </c>
      <c r="G5" s="46" t="s">
        <v>239</v>
      </c>
      <c r="H5" s="46" t="s">
        <v>240</v>
      </c>
    </row>
    <row r="6" spans="2:8" x14ac:dyDescent="0.3">
      <c r="B6" s="47">
        <v>2008</v>
      </c>
      <c r="C6" s="48">
        <v>747180</v>
      </c>
      <c r="D6" s="49">
        <v>1</v>
      </c>
      <c r="E6" s="49">
        <f>C6/1000</f>
        <v>747.18</v>
      </c>
      <c r="F6" s="49">
        <f>POWER(D6,2)</f>
        <v>1</v>
      </c>
      <c r="G6" s="49">
        <f>POWER(E6,2)</f>
        <v>558277.95239999995</v>
      </c>
      <c r="H6" s="49">
        <f>$D6*E6</f>
        <v>747.18</v>
      </c>
    </row>
    <row r="7" spans="2:8" x14ac:dyDescent="0.3">
      <c r="B7" s="47">
        <v>2009</v>
      </c>
      <c r="C7" s="48">
        <v>765218</v>
      </c>
      <c r="D7" s="49">
        <v>2</v>
      </c>
      <c r="E7" s="49">
        <f t="shared" ref="E7:E20" si="0">C7/1000</f>
        <v>765.21799999999996</v>
      </c>
      <c r="F7" s="49">
        <f t="shared" ref="F7:F20" si="1">POWER(D7,2)</f>
        <v>4</v>
      </c>
      <c r="G7" s="49">
        <f>POWER(E7,2)</f>
        <v>585558.58752399997</v>
      </c>
      <c r="H7" s="49">
        <f>$D7*E7</f>
        <v>1530.4359999999999</v>
      </c>
    </row>
    <row r="8" spans="2:8" x14ac:dyDescent="0.3">
      <c r="B8" s="47">
        <v>2010</v>
      </c>
      <c r="C8" s="48">
        <v>784964</v>
      </c>
      <c r="D8" s="49">
        <v>3</v>
      </c>
      <c r="E8" s="49">
        <f t="shared" si="0"/>
        <v>784.96400000000006</v>
      </c>
      <c r="F8" s="49">
        <f t="shared" si="1"/>
        <v>9</v>
      </c>
      <c r="G8" s="49">
        <f>POWER(E8,2)</f>
        <v>616168.48129600007</v>
      </c>
      <c r="H8" s="49">
        <f t="shared" ref="H7:H20" si="2">$D8*E8</f>
        <v>2354.8920000000003</v>
      </c>
    </row>
    <row r="9" spans="2:8" x14ac:dyDescent="0.3">
      <c r="B9" s="47">
        <v>2011</v>
      </c>
      <c r="C9" s="48">
        <v>803173</v>
      </c>
      <c r="D9" s="49">
        <v>4</v>
      </c>
      <c r="E9" s="49">
        <f t="shared" si="0"/>
        <v>803.173</v>
      </c>
      <c r="F9" s="49">
        <f t="shared" si="1"/>
        <v>16</v>
      </c>
      <c r="G9" s="49">
        <f t="shared" ref="G7:G21" si="3">POWER(E9,2)</f>
        <v>645086.86792900006</v>
      </c>
      <c r="H9" s="49">
        <f t="shared" si="2"/>
        <v>3212.692</v>
      </c>
    </row>
    <row r="10" spans="2:8" x14ac:dyDescent="0.3">
      <c r="B10" s="47">
        <v>2012</v>
      </c>
      <c r="C10" s="48">
        <v>842782</v>
      </c>
      <c r="D10" s="49">
        <v>5</v>
      </c>
      <c r="E10" s="49">
        <f t="shared" si="0"/>
        <v>842.78200000000004</v>
      </c>
      <c r="F10" s="49">
        <f t="shared" si="1"/>
        <v>25</v>
      </c>
      <c r="G10" s="49">
        <f t="shared" si="3"/>
        <v>710281.4995240001</v>
      </c>
      <c r="H10" s="49">
        <f t="shared" si="2"/>
        <v>4213.91</v>
      </c>
    </row>
    <row r="11" spans="2:8" x14ac:dyDescent="0.3">
      <c r="B11" s="47">
        <v>2013</v>
      </c>
      <c r="C11" s="48">
        <v>880331</v>
      </c>
      <c r="D11" s="49">
        <v>6</v>
      </c>
      <c r="E11" s="49">
        <f t="shared" si="0"/>
        <v>880.33100000000002</v>
      </c>
      <c r="F11" s="49">
        <f t="shared" si="1"/>
        <v>36</v>
      </c>
      <c r="G11" s="49">
        <f t="shared" si="3"/>
        <v>774982.66956100008</v>
      </c>
      <c r="H11" s="49">
        <f t="shared" si="2"/>
        <v>5281.9859999999999</v>
      </c>
    </row>
    <row r="12" spans="2:8" x14ac:dyDescent="0.3">
      <c r="B12" s="47" t="s">
        <v>226</v>
      </c>
      <c r="C12" s="48">
        <v>906741</v>
      </c>
      <c r="D12" s="49">
        <v>7</v>
      </c>
      <c r="E12" s="49">
        <f t="shared" si="0"/>
        <v>906.74099999999999</v>
      </c>
      <c r="F12" s="49">
        <f t="shared" si="1"/>
        <v>49</v>
      </c>
      <c r="G12" s="49">
        <f t="shared" si="3"/>
        <v>822179.24108099996</v>
      </c>
      <c r="H12" s="49">
        <f t="shared" si="2"/>
        <v>6347.1869999999999</v>
      </c>
    </row>
    <row r="13" spans="2:8" x14ac:dyDescent="0.3">
      <c r="B13" s="47" t="s">
        <v>227</v>
      </c>
      <c r="C13" s="48">
        <v>933018</v>
      </c>
      <c r="D13" s="49">
        <v>8</v>
      </c>
      <c r="E13" s="49">
        <f t="shared" si="0"/>
        <v>933.01800000000003</v>
      </c>
      <c r="F13" s="49">
        <f t="shared" si="1"/>
        <v>64</v>
      </c>
      <c r="G13" s="49">
        <f t="shared" si="3"/>
        <v>870522.58832400001</v>
      </c>
      <c r="H13" s="49">
        <f t="shared" si="2"/>
        <v>7464.1440000000002</v>
      </c>
    </row>
    <row r="14" spans="2:8" x14ac:dyDescent="0.3">
      <c r="B14" s="47" t="s">
        <v>228</v>
      </c>
      <c r="C14" s="48">
        <v>956642</v>
      </c>
      <c r="D14" s="49">
        <v>9</v>
      </c>
      <c r="E14" s="49">
        <f t="shared" si="0"/>
        <v>956.64200000000005</v>
      </c>
      <c r="F14" s="49">
        <f t="shared" si="1"/>
        <v>81</v>
      </c>
      <c r="G14" s="49">
        <f t="shared" si="3"/>
        <v>915163.91616400005</v>
      </c>
      <c r="H14" s="49">
        <f t="shared" si="2"/>
        <v>8609.7780000000002</v>
      </c>
    </row>
    <row r="15" spans="2:8" x14ac:dyDescent="0.3">
      <c r="B15" s="47" t="s">
        <v>229</v>
      </c>
      <c r="C15" s="48">
        <v>979102</v>
      </c>
      <c r="D15" s="49">
        <v>10</v>
      </c>
      <c r="E15" s="49">
        <f t="shared" si="0"/>
        <v>979.10199999999998</v>
      </c>
      <c r="F15" s="49">
        <f t="shared" si="1"/>
        <v>100</v>
      </c>
      <c r="G15" s="49">
        <f t="shared" si="3"/>
        <v>958640.72640399996</v>
      </c>
      <c r="H15" s="49">
        <f t="shared" si="2"/>
        <v>9791.02</v>
      </c>
    </row>
    <row r="16" spans="2:8" x14ac:dyDescent="0.3">
      <c r="B16" s="47" t="s">
        <v>230</v>
      </c>
      <c r="C16" s="48">
        <v>1034465</v>
      </c>
      <c r="D16" s="49">
        <v>11</v>
      </c>
      <c r="E16" s="49">
        <f t="shared" si="0"/>
        <v>1034.4649999999999</v>
      </c>
      <c r="F16" s="49">
        <f t="shared" si="1"/>
        <v>121</v>
      </c>
      <c r="G16" s="49">
        <f t="shared" si="3"/>
        <v>1070117.8362249997</v>
      </c>
      <c r="H16" s="49">
        <f t="shared" si="2"/>
        <v>11379.115</v>
      </c>
    </row>
    <row r="17" spans="2:8" x14ac:dyDescent="0.3">
      <c r="B17" s="47" t="s">
        <v>231</v>
      </c>
      <c r="C17" s="48">
        <v>1039490</v>
      </c>
      <c r="D17" s="49">
        <v>12</v>
      </c>
      <c r="E17" s="49">
        <f t="shared" si="0"/>
        <v>1039.49</v>
      </c>
      <c r="F17" s="49">
        <f t="shared" si="1"/>
        <v>144</v>
      </c>
      <c r="G17" s="49">
        <f t="shared" si="3"/>
        <v>1080539.4601</v>
      </c>
      <c r="H17" s="49">
        <f t="shared" si="2"/>
        <v>12473.880000000001</v>
      </c>
    </row>
    <row r="18" spans="2:8" x14ac:dyDescent="0.3">
      <c r="B18" s="47" t="s">
        <v>232</v>
      </c>
      <c r="C18" s="48">
        <v>1080813</v>
      </c>
      <c r="D18" s="49">
        <v>13</v>
      </c>
      <c r="E18" s="49">
        <f t="shared" si="0"/>
        <v>1080.8130000000001</v>
      </c>
      <c r="F18" s="49">
        <f t="shared" si="1"/>
        <v>169</v>
      </c>
      <c r="G18" s="49">
        <f t="shared" si="3"/>
        <v>1168156.7409690002</v>
      </c>
      <c r="H18" s="49">
        <f t="shared" si="2"/>
        <v>14050.569000000001</v>
      </c>
    </row>
    <row r="19" spans="2:8" x14ac:dyDescent="0.3">
      <c r="B19" s="47" t="s">
        <v>233</v>
      </c>
      <c r="C19" s="48">
        <v>1108419</v>
      </c>
      <c r="D19" s="49">
        <v>14</v>
      </c>
      <c r="E19" s="49">
        <f t="shared" si="0"/>
        <v>1108.4190000000001</v>
      </c>
      <c r="F19" s="49">
        <f t="shared" si="1"/>
        <v>196</v>
      </c>
      <c r="G19" s="49">
        <f t="shared" si="3"/>
        <v>1228592.6795610003</v>
      </c>
      <c r="H19" s="49">
        <f t="shared" si="2"/>
        <v>15517.866000000002</v>
      </c>
    </row>
    <row r="20" spans="2:8" x14ac:dyDescent="0.3">
      <c r="B20" s="47" t="s">
        <v>234</v>
      </c>
      <c r="C20" s="48">
        <v>1118564</v>
      </c>
      <c r="D20" s="49">
        <v>15</v>
      </c>
      <c r="E20" s="49">
        <f t="shared" si="0"/>
        <v>1118.5640000000001</v>
      </c>
      <c r="F20" s="49">
        <f t="shared" si="1"/>
        <v>225</v>
      </c>
      <c r="G20" s="49">
        <f t="shared" si="3"/>
        <v>1251185.4220960003</v>
      </c>
      <c r="H20" s="49">
        <f t="shared" si="2"/>
        <v>16778.460000000003</v>
      </c>
    </row>
    <row r="21" spans="2:8" ht="15.6" x14ac:dyDescent="0.3">
      <c r="B21" s="49"/>
      <c r="C21" s="49"/>
      <c r="D21" s="50">
        <f>SUM(D6:D20)</f>
        <v>120</v>
      </c>
      <c r="E21" s="50">
        <f>SUM(E6:E20)</f>
        <v>13980.902</v>
      </c>
      <c r="F21" s="50">
        <f>SUM(F6:F20)</f>
        <v>1240</v>
      </c>
      <c r="G21" s="50">
        <f>SUM(G6:G20)</f>
        <v>13255454.669158002</v>
      </c>
      <c r="H21" s="50">
        <f>SUM(H6:H20)</f>
        <v>119753.11500000001</v>
      </c>
    </row>
    <row r="24" spans="2:8" x14ac:dyDescent="0.3">
      <c r="B24" t="s">
        <v>241</v>
      </c>
    </row>
    <row r="27" spans="2:8" x14ac:dyDescent="0.3">
      <c r="F27" t="s">
        <v>242</v>
      </c>
      <c r="G27">
        <f>(E21*F21-D21*H21)-(15*F21-POWER(D21,2))</f>
        <v>2961744.6799999997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5368-C6A3-4062-B656-7EBF4C42AF5B}">
  <dimension ref="B3:J21"/>
  <sheetViews>
    <sheetView tabSelected="1" workbookViewId="0">
      <selection activeCell="E23" sqref="E23"/>
    </sheetView>
  </sheetViews>
  <sheetFormatPr baseColWidth="10" defaultRowHeight="14.4" x14ac:dyDescent="0.3"/>
  <sheetData>
    <row r="3" spans="2:10" ht="15" thickBot="1" x14ac:dyDescent="0.35">
      <c r="E3" s="51" t="s">
        <v>243</v>
      </c>
      <c r="F3" s="51"/>
      <c r="G3" s="51"/>
      <c r="H3" s="51"/>
      <c r="I3" s="51"/>
    </row>
    <row r="4" spans="2:10" ht="36.6" thickBot="1" x14ac:dyDescent="0.35">
      <c r="B4" s="52"/>
      <c r="C4" s="60" t="s">
        <v>211</v>
      </c>
      <c r="D4" s="61"/>
      <c r="E4" s="54" t="s">
        <v>62</v>
      </c>
      <c r="F4" s="55" t="s">
        <v>108</v>
      </c>
      <c r="G4" s="55" t="s">
        <v>33</v>
      </c>
      <c r="H4" s="55" t="s">
        <v>28</v>
      </c>
      <c r="I4" s="56" t="s">
        <v>17</v>
      </c>
      <c r="J4" s="57" t="s">
        <v>245</v>
      </c>
    </row>
    <row r="5" spans="2:10" ht="15" thickBot="1" x14ac:dyDescent="0.35">
      <c r="B5" s="3">
        <v>1</v>
      </c>
      <c r="C5" s="31">
        <v>18</v>
      </c>
      <c r="D5" s="58">
        <v>22</v>
      </c>
      <c r="E5" s="49">
        <v>2</v>
      </c>
      <c r="F5" s="49">
        <v>1</v>
      </c>
      <c r="G5" s="49">
        <v>5</v>
      </c>
      <c r="H5" s="49">
        <v>6</v>
      </c>
      <c r="I5" s="49">
        <v>16</v>
      </c>
      <c r="J5" s="49">
        <f>(E5+F5+G5+H5+I5)</f>
        <v>30</v>
      </c>
    </row>
    <row r="6" spans="2:10" ht="15" thickBot="1" x14ac:dyDescent="0.35">
      <c r="B6" s="3">
        <v>2</v>
      </c>
      <c r="C6" s="31">
        <v>22</v>
      </c>
      <c r="D6" s="58">
        <v>26</v>
      </c>
      <c r="E6" s="49"/>
      <c r="F6" s="49"/>
      <c r="G6" s="49">
        <v>5</v>
      </c>
      <c r="H6" s="49">
        <v>1</v>
      </c>
      <c r="I6" s="49">
        <v>5</v>
      </c>
      <c r="J6" s="49">
        <f t="shared" ref="J6:J11" si="0">(E6+F6+G6+H6+I6)</f>
        <v>11</v>
      </c>
    </row>
    <row r="7" spans="2:10" ht="15" thickBot="1" x14ac:dyDescent="0.35">
      <c r="B7" s="3">
        <v>3</v>
      </c>
      <c r="C7" s="31">
        <v>26</v>
      </c>
      <c r="D7" s="58">
        <v>30</v>
      </c>
      <c r="E7" s="49"/>
      <c r="F7" s="49"/>
      <c r="G7" s="49">
        <v>1</v>
      </c>
      <c r="H7" s="49"/>
      <c r="I7" s="49">
        <v>5</v>
      </c>
      <c r="J7" s="49">
        <f t="shared" si="0"/>
        <v>6</v>
      </c>
    </row>
    <row r="8" spans="2:10" ht="15" thickBot="1" x14ac:dyDescent="0.35">
      <c r="B8" s="23">
        <v>4</v>
      </c>
      <c r="C8" s="53">
        <v>30</v>
      </c>
      <c r="D8" s="59">
        <v>34</v>
      </c>
      <c r="E8" s="49"/>
      <c r="F8" s="49"/>
      <c r="G8" s="49"/>
      <c r="H8" s="49"/>
      <c r="I8" s="49"/>
      <c r="J8" s="49">
        <f t="shared" si="0"/>
        <v>0</v>
      </c>
    </row>
    <row r="9" spans="2:10" ht="15" thickBot="1" x14ac:dyDescent="0.35">
      <c r="B9" s="3">
        <v>5</v>
      </c>
      <c r="C9" s="31">
        <v>34</v>
      </c>
      <c r="D9" s="58">
        <v>38</v>
      </c>
      <c r="E9" s="49"/>
      <c r="F9" s="49"/>
      <c r="G9" s="49"/>
      <c r="H9" s="49"/>
      <c r="I9" s="49">
        <v>1</v>
      </c>
      <c r="J9" s="49">
        <f t="shared" si="0"/>
        <v>1</v>
      </c>
    </row>
    <row r="10" spans="2:10" ht="15" thickBot="1" x14ac:dyDescent="0.35">
      <c r="B10" s="3">
        <v>6</v>
      </c>
      <c r="C10" s="31">
        <v>38</v>
      </c>
      <c r="D10" s="58">
        <v>42</v>
      </c>
      <c r="E10" s="49"/>
      <c r="F10" s="49"/>
      <c r="G10" s="49">
        <v>1</v>
      </c>
      <c r="H10" s="49">
        <v>0</v>
      </c>
      <c r="I10" s="49"/>
      <c r="J10" s="49">
        <f t="shared" si="0"/>
        <v>1</v>
      </c>
    </row>
    <row r="11" spans="2:10" ht="15" thickBot="1" x14ac:dyDescent="0.35">
      <c r="B11" s="3">
        <v>7</v>
      </c>
      <c r="C11" s="31">
        <v>42</v>
      </c>
      <c r="D11" s="58">
        <v>46</v>
      </c>
      <c r="E11" s="49"/>
      <c r="F11" s="49"/>
      <c r="G11" s="49"/>
      <c r="H11" s="49">
        <v>1</v>
      </c>
      <c r="I11" s="49"/>
      <c r="J11" s="49">
        <f t="shared" si="0"/>
        <v>1</v>
      </c>
    </row>
    <row r="12" spans="2:10" x14ac:dyDescent="0.3">
      <c r="D12" t="s">
        <v>244</v>
      </c>
      <c r="E12" s="49">
        <f>SUM(E5:E11)</f>
        <v>2</v>
      </c>
      <c r="F12" s="49">
        <f>SUM(F5:F11)</f>
        <v>1</v>
      </c>
      <c r="G12" s="49">
        <f>SUM(G5:G11)</f>
        <v>12</v>
      </c>
      <c r="H12" s="49">
        <f>SUM(H5:H11)</f>
        <v>8</v>
      </c>
      <c r="I12" s="49">
        <f>SUM(I5:I11)</f>
        <v>27</v>
      </c>
      <c r="J12" s="49">
        <v>50</v>
      </c>
    </row>
    <row r="18" spans="3:6" ht="15" thickBot="1" x14ac:dyDescent="0.35">
      <c r="E18" t="s">
        <v>247</v>
      </c>
    </row>
    <row r="19" spans="3:6" ht="15" thickBot="1" x14ac:dyDescent="0.35">
      <c r="C19" s="60" t="s">
        <v>246</v>
      </c>
      <c r="D19" s="61"/>
      <c r="E19" s="54" t="s">
        <v>217</v>
      </c>
      <c r="F19" s="55" t="s">
        <v>218</v>
      </c>
    </row>
    <row r="20" spans="3:6" ht="15" thickBot="1" x14ac:dyDescent="0.35">
      <c r="C20" s="31"/>
      <c r="D20" s="58" t="s">
        <v>217</v>
      </c>
      <c r="E20" s="49">
        <v>11</v>
      </c>
      <c r="F20" s="49">
        <v>39</v>
      </c>
    </row>
    <row r="21" spans="3:6" ht="15" thickBot="1" x14ac:dyDescent="0.35">
      <c r="C21" s="31"/>
      <c r="D21" s="58" t="s">
        <v>218</v>
      </c>
      <c r="E21" s="49">
        <v>10</v>
      </c>
      <c r="F21" s="49">
        <v>11</v>
      </c>
    </row>
  </sheetData>
  <mergeCells count="3">
    <mergeCell ref="C4:D4"/>
    <mergeCell ref="E3:I3"/>
    <mergeCell ref="C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tablas</vt:lpstr>
      <vt:lpstr>datos</vt:lpstr>
      <vt:lpstr>Hoja2</vt:lpstr>
      <vt:lpstr>Hoja4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59168</dc:creator>
  <cp:lastModifiedBy>59168</cp:lastModifiedBy>
  <dcterms:created xsi:type="dcterms:W3CDTF">2023-09-20T20:46:50Z</dcterms:created>
  <dcterms:modified xsi:type="dcterms:W3CDTF">2023-09-28T08:22:19Z</dcterms:modified>
</cp:coreProperties>
</file>