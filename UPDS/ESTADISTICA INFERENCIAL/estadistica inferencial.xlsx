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C:\Users\59168\Desktop\"/>
    </mc:Choice>
  </mc:AlternateContent>
  <xr:revisionPtr revIDLastSave="0" documentId="13_ncr:1_{385F3FC0-F6A3-43A5-B0C5-2BB074BEB4BA}" xr6:coauthVersionLast="43" xr6:coauthVersionMax="43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  <sheet name="TABLA-MTC" sheetId="2" r:id="rId2"/>
    <sheet name="MED-DISPERSION" sheetId="5" r:id="rId3"/>
    <sheet name="Output" sheetId="12" r:id="rId4"/>
    <sheet name="normal distribucion" sheetId="10" r:id="rId5"/>
    <sheet name="Hoja2" sheetId="13" r:id="rId6"/>
  </sheets>
  <definedNames>
    <definedName name="_xlnm._FilterDatabase" localSheetId="0" hidden="1">datos!$A$1:$K$51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H8" i="13" l="1"/>
  <c r="H7" i="13"/>
  <c r="G7" i="13"/>
  <c r="F7" i="13"/>
  <c r="F41" i="10"/>
  <c r="F46" i="10" s="1"/>
  <c r="N277" i="2"/>
  <c r="F44" i="10"/>
  <c r="G44" i="10" l="1"/>
  <c r="H44" i="10" s="1"/>
  <c r="F7" i="10"/>
  <c r="G7" i="10" s="1"/>
  <c r="H7" i="10" s="1"/>
  <c r="G41" i="10"/>
  <c r="F26" i="10"/>
  <c r="G26" i="10" s="1"/>
  <c r="H26" i="10" s="1"/>
  <c r="C43" i="10"/>
  <c r="C28" i="10"/>
  <c r="H41" i="10" l="1"/>
  <c r="G46" i="10"/>
  <c r="H46" i="10" s="1"/>
  <c r="C9" i="10"/>
  <c r="B135" i="2"/>
  <c r="M7" i="2"/>
  <c r="F34" i="5" l="1"/>
  <c r="F33" i="5"/>
  <c r="F32" i="5"/>
  <c r="F31" i="5"/>
  <c r="F30" i="5"/>
  <c r="F29" i="5"/>
  <c r="F28" i="5"/>
  <c r="H28" i="5" s="1"/>
  <c r="N250" i="2" l="1"/>
  <c r="N249" i="2"/>
  <c r="H30" i="5"/>
  <c r="F267" i="2"/>
  <c r="H14" i="5"/>
  <c r="P22" i="2"/>
  <c r="I8" i="5"/>
  <c r="J8" i="5" s="1"/>
  <c r="I10" i="2"/>
  <c r="C23" i="2"/>
  <c r="H13" i="5"/>
  <c r="H12" i="5"/>
  <c r="H11" i="5"/>
  <c r="H10" i="5"/>
  <c r="H9" i="5"/>
  <c r="H8" i="5"/>
  <c r="I9" i="5"/>
  <c r="J9" i="5" s="1"/>
  <c r="I29" i="5"/>
  <c r="J29" i="5" s="1"/>
  <c r="I28" i="5"/>
  <c r="I32" i="5"/>
  <c r="J32" i="5" s="1"/>
  <c r="I34" i="5"/>
  <c r="J34" i="5" s="1"/>
  <c r="H34" i="5"/>
  <c r="I33" i="5"/>
  <c r="J33" i="5" s="1"/>
  <c r="H33" i="5"/>
  <c r="I31" i="5"/>
  <c r="J31" i="5" s="1"/>
  <c r="H31" i="5"/>
  <c r="I30" i="5"/>
  <c r="J30" i="5" s="1"/>
  <c r="A1" i="5"/>
  <c r="I14" i="5"/>
  <c r="J14" i="5" s="1"/>
  <c r="I13" i="5"/>
  <c r="J13" i="5" s="1"/>
  <c r="I12" i="5"/>
  <c r="J12" i="5" s="1"/>
  <c r="I11" i="5"/>
  <c r="J11" i="5" s="1"/>
  <c r="I10" i="5"/>
  <c r="J10" i="5" s="1"/>
  <c r="D3" i="5"/>
  <c r="D23" i="2" l="1"/>
  <c r="C24" i="2" s="1"/>
  <c r="J15" i="5"/>
  <c r="I35" i="5"/>
  <c r="H32" i="5"/>
  <c r="H29" i="5"/>
  <c r="J28" i="5"/>
  <c r="J35" i="5" s="1"/>
  <c r="I15" i="5"/>
  <c r="D24" i="2" l="1"/>
  <c r="D25" i="2" s="1"/>
  <c r="H35" i="5"/>
  <c r="C267" i="2"/>
  <c r="G274" i="2"/>
  <c r="M273" i="2"/>
  <c r="M272" i="2" s="1"/>
  <c r="M271" i="2" s="1"/>
  <c r="M270" i="2" s="1"/>
  <c r="M269" i="2" s="1"/>
  <c r="M268" i="2" s="1"/>
  <c r="M267" i="2" s="1"/>
  <c r="J267" i="2"/>
  <c r="J268" i="2" s="1"/>
  <c r="I252" i="2"/>
  <c r="I251" i="2"/>
  <c r="I250" i="2"/>
  <c r="I254" i="2" s="1"/>
  <c r="B225" i="2"/>
  <c r="B227" i="2"/>
  <c r="B226" i="2"/>
  <c r="D228" i="2"/>
  <c r="E227" i="2" s="1"/>
  <c r="F227" i="2" s="1"/>
  <c r="G225" i="2"/>
  <c r="G226" i="2" s="1"/>
  <c r="G227" i="2" s="1"/>
  <c r="B219" i="2"/>
  <c r="D203" i="2"/>
  <c r="E201" i="2" s="1"/>
  <c r="G201" i="2"/>
  <c r="G202" i="2" s="1"/>
  <c r="B197" i="2"/>
  <c r="D183" i="2"/>
  <c r="E182" i="2" s="1"/>
  <c r="F182" i="2" s="1"/>
  <c r="G181" i="2"/>
  <c r="G182" i="2" s="1"/>
  <c r="B176" i="2"/>
  <c r="B160" i="2"/>
  <c r="B159" i="2"/>
  <c r="B158" i="2"/>
  <c r="B157" i="2"/>
  <c r="D161" i="2"/>
  <c r="E160" i="2" s="1"/>
  <c r="F160" i="2" s="1"/>
  <c r="G157" i="2"/>
  <c r="G158" i="2" s="1"/>
  <c r="G159" i="2" s="1"/>
  <c r="G160" i="2" s="1"/>
  <c r="B151" i="2"/>
  <c r="B137" i="2"/>
  <c r="B136" i="2"/>
  <c r="B134" i="2"/>
  <c r="B133" i="2"/>
  <c r="D138" i="2"/>
  <c r="E137" i="2" s="1"/>
  <c r="F137" i="2" s="1"/>
  <c r="G133" i="2"/>
  <c r="B128" i="2"/>
  <c r="D113" i="2"/>
  <c r="E112" i="2" s="1"/>
  <c r="F112" i="2" s="1"/>
  <c r="G111" i="2"/>
  <c r="G112" i="2" s="1"/>
  <c r="B106" i="2"/>
  <c r="G85" i="2"/>
  <c r="G86" i="2" s="1"/>
  <c r="G87" i="2" s="1"/>
  <c r="G88" i="2" s="1"/>
  <c r="D89" i="2"/>
  <c r="E85" i="2" s="1"/>
  <c r="B88" i="2"/>
  <c r="B87" i="2"/>
  <c r="B86" i="2"/>
  <c r="B85" i="2"/>
  <c r="B79" i="2"/>
  <c r="D60" i="2"/>
  <c r="E58" i="2" s="1"/>
  <c r="F58" i="2" s="1"/>
  <c r="G57" i="2"/>
  <c r="G58" i="2" s="1"/>
  <c r="G59" i="2" s="1"/>
  <c r="B52" i="2"/>
  <c r="C25" i="2" l="1"/>
  <c r="I253" i="2"/>
  <c r="I255" i="2" s="1"/>
  <c r="E133" i="2"/>
  <c r="F133" i="2" s="1"/>
  <c r="E88" i="2"/>
  <c r="F88" i="2" s="1"/>
  <c r="E134" i="2"/>
  <c r="F134" i="2" s="1"/>
  <c r="H273" i="2"/>
  <c r="I273" i="2" s="1"/>
  <c r="O273" i="2" s="1"/>
  <c r="H267" i="2"/>
  <c r="K267" i="2" s="1"/>
  <c r="H271" i="2"/>
  <c r="I271" i="2" s="1"/>
  <c r="H272" i="2"/>
  <c r="I272" i="2" s="1"/>
  <c r="J269" i="2"/>
  <c r="J270" i="2" s="1"/>
  <c r="J271" i="2" s="1"/>
  <c r="J272" i="2" s="1"/>
  <c r="J273" i="2" s="1"/>
  <c r="H269" i="2"/>
  <c r="I269" i="2" s="1"/>
  <c r="H268" i="2"/>
  <c r="I268" i="2" s="1"/>
  <c r="H270" i="2"/>
  <c r="I270" i="2" s="1"/>
  <c r="E226" i="2"/>
  <c r="F226" i="2" s="1"/>
  <c r="E225" i="2"/>
  <c r="F225" i="2" s="1"/>
  <c r="E135" i="2"/>
  <c r="F135" i="2" s="1"/>
  <c r="E136" i="2"/>
  <c r="F136" i="2" s="1"/>
  <c r="G134" i="2"/>
  <c r="G135" i="2" s="1"/>
  <c r="G136" i="2" s="1"/>
  <c r="G137" i="2" s="1"/>
  <c r="E228" i="2"/>
  <c r="E202" i="2"/>
  <c r="F202" i="2" s="1"/>
  <c r="F201" i="2"/>
  <c r="F203" i="2" s="1"/>
  <c r="E181" i="2"/>
  <c r="E183" i="2" s="1"/>
  <c r="E158" i="2"/>
  <c r="F158" i="2" s="1"/>
  <c r="E159" i="2"/>
  <c r="F159" i="2" s="1"/>
  <c r="E157" i="2"/>
  <c r="F157" i="2" s="1"/>
  <c r="F161" i="2"/>
  <c r="E161" i="2"/>
  <c r="E86" i="2"/>
  <c r="F86" i="2" s="1"/>
  <c r="E111" i="2"/>
  <c r="F111" i="2" s="1"/>
  <c r="F85" i="2"/>
  <c r="E113" i="2"/>
  <c r="F113" i="2"/>
  <c r="E87" i="2"/>
  <c r="F87" i="2" s="1"/>
  <c r="E59" i="2"/>
  <c r="F59" i="2" s="1"/>
  <c r="E57" i="2"/>
  <c r="D267" i="2" l="1"/>
  <c r="I260" i="2"/>
  <c r="N273" i="2"/>
  <c r="N272" i="2"/>
  <c r="N271" i="2" s="1"/>
  <c r="N270" i="2" s="1"/>
  <c r="N269" i="2" s="1"/>
  <c r="N268" i="2" s="1"/>
  <c r="N267" i="2" s="1"/>
  <c r="O272" i="2"/>
  <c r="O271" i="2" s="1"/>
  <c r="O270" i="2" s="1"/>
  <c r="O269" i="2" s="1"/>
  <c r="O268" i="2" s="1"/>
  <c r="H274" i="2"/>
  <c r="I267" i="2"/>
  <c r="O267" i="2" s="1"/>
  <c r="K268" i="2"/>
  <c r="K269" i="2" s="1"/>
  <c r="K270" i="2" s="1"/>
  <c r="K271" i="2" s="1"/>
  <c r="K272" i="2" s="1"/>
  <c r="K273" i="2" s="1"/>
  <c r="F228" i="2"/>
  <c r="F181" i="2"/>
  <c r="F183" i="2" s="1"/>
  <c r="E203" i="2"/>
  <c r="F138" i="2"/>
  <c r="E138" i="2"/>
  <c r="F89" i="2"/>
  <c r="E89" i="2"/>
  <c r="F57" i="2"/>
  <c r="F60" i="2" s="1"/>
  <c r="E60" i="2"/>
  <c r="I274" i="2" l="1"/>
  <c r="L267" i="2"/>
  <c r="L268" i="2" s="1"/>
  <c r="L269" i="2" s="1"/>
  <c r="L270" i="2" s="1"/>
  <c r="L271" i="2" s="1"/>
  <c r="L272" i="2" s="1"/>
  <c r="L273" i="2" s="1"/>
  <c r="C268" i="2"/>
  <c r="D268" i="2" s="1"/>
  <c r="C269" i="2" s="1"/>
  <c r="I259" i="2" s="1"/>
  <c r="P267" i="2"/>
  <c r="F268" i="2"/>
  <c r="P268" i="2" s="1"/>
  <c r="D269" i="2"/>
  <c r="C270" i="2" s="1"/>
  <c r="F269" i="2" l="1"/>
  <c r="P269" i="2" s="1"/>
  <c r="D270" i="2"/>
  <c r="C271" i="2" s="1"/>
  <c r="F270" i="2" l="1"/>
  <c r="P270" i="2" s="1"/>
  <c r="D271" i="2"/>
  <c r="C272" i="2" s="1"/>
  <c r="D272" i="2" l="1"/>
  <c r="C273" i="2" s="1"/>
  <c r="F271" i="2"/>
  <c r="P271" i="2" s="1"/>
  <c r="F272" i="2" l="1"/>
  <c r="P272" i="2" s="1"/>
  <c r="D273" i="2"/>
  <c r="G29" i="2"/>
  <c r="H22" i="2" s="1"/>
  <c r="I22" i="2" s="1"/>
  <c r="M28" i="2"/>
  <c r="M27" i="2" s="1"/>
  <c r="M26" i="2" s="1"/>
  <c r="M25" i="2" s="1"/>
  <c r="M24" i="2" s="1"/>
  <c r="M23" i="2" s="1"/>
  <c r="M22" i="2" s="1"/>
  <c r="J22" i="2"/>
  <c r="J23" i="2" s="1"/>
  <c r="J24" i="2" s="1"/>
  <c r="J25" i="2" s="1"/>
  <c r="J26" i="2" s="1"/>
  <c r="J27" i="2" s="1"/>
  <c r="J28" i="2" s="1"/>
  <c r="I7" i="2"/>
  <c r="I6" i="2"/>
  <c r="C22" i="2" s="1"/>
  <c r="I5" i="2"/>
  <c r="I9" i="2" s="1"/>
  <c r="B2" i="2"/>
  <c r="I8" i="2" l="1"/>
  <c r="F273" i="2"/>
  <c r="P273" i="2" s="1"/>
  <c r="P274" i="2" s="1"/>
  <c r="I258" i="2" s="1"/>
  <c r="K22" i="2"/>
  <c r="H26" i="2"/>
  <c r="I26" i="2" s="1"/>
  <c r="H25" i="2"/>
  <c r="I25" i="2" s="1"/>
  <c r="H28" i="2"/>
  <c r="I28" i="2" s="1"/>
  <c r="H23" i="2"/>
  <c r="I23" i="2" s="1"/>
  <c r="H27" i="2"/>
  <c r="I27" i="2" s="1"/>
  <c r="H24" i="2"/>
  <c r="I24" i="2" s="1"/>
  <c r="L22" i="2"/>
  <c r="I15" i="2" l="1"/>
  <c r="I29" i="2"/>
  <c r="L23" i="2"/>
  <c r="L24" i="2" s="1"/>
  <c r="L25" i="2" s="1"/>
  <c r="L26" i="2" s="1"/>
  <c r="L27" i="2" s="1"/>
  <c r="I14" i="2"/>
  <c r="F22" i="2"/>
  <c r="K23" i="2"/>
  <c r="K24" i="2" s="1"/>
  <c r="K25" i="2" s="1"/>
  <c r="K26" i="2" s="1"/>
  <c r="K27" i="2" s="1"/>
  <c r="K28" i="2" s="1"/>
  <c r="N28" i="2"/>
  <c r="N27" i="2" s="1"/>
  <c r="N26" i="2" s="1"/>
  <c r="N25" i="2" s="1"/>
  <c r="N24" i="2" s="1"/>
  <c r="N23" i="2" s="1"/>
  <c r="N22" i="2" s="1"/>
  <c r="O28" i="2"/>
  <c r="O27" i="2" s="1"/>
  <c r="O26" i="2" s="1"/>
  <c r="O25" i="2" s="1"/>
  <c r="O24" i="2" s="1"/>
  <c r="O23" i="2" s="1"/>
  <c r="O22" i="2" s="1"/>
  <c r="H29" i="2"/>
  <c r="F23" i="2" l="1"/>
  <c r="P23" i="2" s="1"/>
  <c r="L28" i="2"/>
  <c r="F25" i="2" l="1"/>
  <c r="P25" i="2" s="1"/>
  <c r="F24" i="2"/>
  <c r="P24" i="2" s="1"/>
  <c r="D26" i="2" l="1"/>
  <c r="C26" i="2"/>
  <c r="F26" i="2" l="1"/>
  <c r="P26" i="2" s="1"/>
  <c r="C27" i="2"/>
  <c r="D27" i="2"/>
  <c r="C28" i="2" l="1"/>
  <c r="D28" i="2"/>
  <c r="F27" i="2"/>
  <c r="P27" i="2" s="1"/>
  <c r="F28" i="2" l="1"/>
  <c r="P28" i="2" l="1"/>
  <c r="P29" i="2" s="1"/>
  <c r="I13" i="2" s="1"/>
</calcChain>
</file>

<file path=xl/sharedStrings.xml><?xml version="1.0" encoding="utf-8"?>
<sst xmlns="http://schemas.openxmlformats.org/spreadsheetml/2006/main" count="820" uniqueCount="151">
  <si>
    <t>Marca temporal</t>
  </si>
  <si>
    <t>¿Cual es tu edad?</t>
  </si>
  <si>
    <t>¿Cual es tu sexo?</t>
  </si>
  <si>
    <t>¿En que horario estas pasando clase en la UPDS?</t>
  </si>
  <si>
    <t>¿Actualmente trabajas mientras estudias?</t>
  </si>
  <si>
    <t>¿Que carrera estas estudiando ?</t>
  </si>
  <si>
    <t>¿Cual es tu horario laboral?</t>
  </si>
  <si>
    <t>¿ Has tenido dificultades para encontrar clases que se ajusten a tu horario laboral?</t>
  </si>
  <si>
    <t>¿Crees que la falta de flexibilidad en los horarios de clases afectan tu desempeño académico?</t>
  </si>
  <si>
    <t>¿Has dejado de estudiar debido al cruce de horarios entre el trabajo y la universidad?</t>
  </si>
  <si>
    <t>¿Cuánto dinero inviertes en transporte y alimentación al mes asistiendo en la modalidad presencial?</t>
  </si>
  <si>
    <t>Mujer</t>
  </si>
  <si>
    <t>Mañana</t>
  </si>
  <si>
    <t>si</t>
  </si>
  <si>
    <t>Ing. Industrial</t>
  </si>
  <si>
    <t>medio dia 4 horas</t>
  </si>
  <si>
    <t>Si</t>
  </si>
  <si>
    <t>1 vez en el mes</t>
  </si>
  <si>
    <t>Hombre</t>
  </si>
  <si>
    <t>Noche</t>
  </si>
  <si>
    <t>Ing. de Sistemas</t>
  </si>
  <si>
    <t>Horario continua 8 - 4 horas</t>
  </si>
  <si>
    <t>Medio dia</t>
  </si>
  <si>
    <t>Horario de oficina 8 - 12 a 2 - 6 horas</t>
  </si>
  <si>
    <t>3 o mas  veces al mes</t>
  </si>
  <si>
    <t>No</t>
  </si>
  <si>
    <t>no</t>
  </si>
  <si>
    <t>Horario continua 3 - 9 horas</t>
  </si>
  <si>
    <t>2 vez en el mes</t>
  </si>
  <si>
    <t>otros</t>
  </si>
  <si>
    <t>Ing. Comercial</t>
  </si>
  <si>
    <t>Tarde</t>
  </si>
  <si>
    <t>Ing. Redes Y telecomunicaciones</t>
  </si>
  <si>
    <t>calculos previos</t>
  </si>
  <si>
    <t>n°datos</t>
  </si>
  <si>
    <t>limite inferior</t>
  </si>
  <si>
    <t>limite superior</t>
  </si>
  <si>
    <t>rango</t>
  </si>
  <si>
    <t>N°clases</t>
  </si>
  <si>
    <t>Amplitud</t>
  </si>
  <si>
    <t xml:space="preserve">  </t>
  </si>
  <si>
    <t xml:space="preserve"> </t>
  </si>
  <si>
    <t xml:space="preserve">Frec. Abs. Acumulada MENOR QUE </t>
  </si>
  <si>
    <t xml:space="preserve">Frec. Acumulada MAYOR QUE </t>
  </si>
  <si>
    <t>N intervalo</t>
  </si>
  <si>
    <t>limites</t>
  </si>
  <si>
    <t>reconteo de datos</t>
  </si>
  <si>
    <t>marca de clase</t>
  </si>
  <si>
    <t>frec. Absoluta</t>
  </si>
  <si>
    <t>frec. Relativa</t>
  </si>
  <si>
    <t>frec.porcentual</t>
  </si>
  <si>
    <t>K</t>
  </si>
  <si>
    <t>Li</t>
  </si>
  <si>
    <t>Ls</t>
  </si>
  <si>
    <t>conteo</t>
  </si>
  <si>
    <t>yi</t>
  </si>
  <si>
    <t>ni</t>
  </si>
  <si>
    <t>hi</t>
  </si>
  <si>
    <t>pi</t>
  </si>
  <si>
    <t>Ni</t>
  </si>
  <si>
    <t>Hi</t>
  </si>
  <si>
    <t>Pi</t>
  </si>
  <si>
    <t>Ni*</t>
  </si>
  <si>
    <t>Hi*</t>
  </si>
  <si>
    <t>Pi*</t>
  </si>
  <si>
    <t>IIIIIIIIIIIIIIIIIIIIIII</t>
  </si>
  <si>
    <t xml:space="preserve">IIIIIIIIIIII </t>
  </si>
  <si>
    <t>IIIIII</t>
  </si>
  <si>
    <t>I</t>
  </si>
  <si>
    <t>Media</t>
  </si>
  <si>
    <t>Error típico</t>
  </si>
  <si>
    <t>Mediana</t>
  </si>
  <si>
    <t>Moda</t>
  </si>
  <si>
    <t>Desviación estándar</t>
  </si>
  <si>
    <t>Varianza de la muestra</t>
  </si>
  <si>
    <t>Curtosis</t>
  </si>
  <si>
    <t>Coeficiente de asimetría</t>
  </si>
  <si>
    <t>Rango</t>
  </si>
  <si>
    <t>Mínimo</t>
  </si>
  <si>
    <t>Máximo</t>
  </si>
  <si>
    <t>Suma</t>
  </si>
  <si>
    <t>Cuenta</t>
  </si>
  <si>
    <t xml:space="preserve">IIIIIIIIIII </t>
  </si>
  <si>
    <t>IIIII</t>
  </si>
  <si>
    <t>II</t>
  </si>
  <si>
    <t>IIII</t>
  </si>
  <si>
    <t xml:space="preserve">   </t>
  </si>
  <si>
    <t>media</t>
  </si>
  <si>
    <t>mediana</t>
  </si>
  <si>
    <t>moda</t>
  </si>
  <si>
    <t>yi*ni</t>
  </si>
  <si>
    <t>medidas de tendencia central</t>
  </si>
  <si>
    <t>genero</t>
  </si>
  <si>
    <t>M</t>
  </si>
  <si>
    <t>F</t>
  </si>
  <si>
    <t>O</t>
  </si>
  <si>
    <t>turno</t>
  </si>
  <si>
    <t>IIIIIIIIIIIIIIIIIIIIIIII</t>
  </si>
  <si>
    <t>III</t>
  </si>
  <si>
    <t xml:space="preserve">IIIIIIIIIIIIIII </t>
  </si>
  <si>
    <t>estudio/trabajo</t>
  </si>
  <si>
    <t>IIIIIIIIIIIIIIIIIII</t>
  </si>
  <si>
    <t xml:space="preserve">IIIIIIIII </t>
  </si>
  <si>
    <t>horario/laboral</t>
  </si>
  <si>
    <t>IIIIIII</t>
  </si>
  <si>
    <t>IIIIIIIIIIIIIIIIIIIII</t>
  </si>
  <si>
    <t>dificultades</t>
  </si>
  <si>
    <t>IIIIIIIIIIIII</t>
  </si>
  <si>
    <t>¿Cuánto dinero inviertes en transporte y alimentación al mes asistiendo en la modalidad presencial, considerando arriba de 100bs  ?</t>
  </si>
  <si>
    <t>19 - 21</t>
  </si>
  <si>
    <t>21 - 23</t>
  </si>
  <si>
    <t>23 - 25</t>
  </si>
  <si>
    <t>25 - 27</t>
  </si>
  <si>
    <t>27 - 29</t>
  </si>
  <si>
    <t>29 - 31</t>
  </si>
  <si>
    <t>31 - 33</t>
  </si>
  <si>
    <t>yi * ni</t>
  </si>
  <si>
    <t>(x-x)^2</t>
  </si>
  <si>
    <t>(x-x)^2*ni</t>
  </si>
  <si>
    <t>s</t>
  </si>
  <si>
    <t>MEDIDAS DE DISPERSION</t>
  </si>
  <si>
    <t>100 - 171</t>
  </si>
  <si>
    <t>171 - 243</t>
  </si>
  <si>
    <t>243 - 314</t>
  </si>
  <si>
    <t>314 - 386</t>
  </si>
  <si>
    <t>386 - 457</t>
  </si>
  <si>
    <t>457 - 529</t>
  </si>
  <si>
    <t>529 - 600</t>
  </si>
  <si>
    <t>a) mayor a 29 años</t>
  </si>
  <si>
    <t>datos</t>
  </si>
  <si>
    <t>m</t>
  </si>
  <si>
    <t>P</t>
  </si>
  <si>
    <t>(X &gt; 29)</t>
  </si>
  <si>
    <t xml:space="preserve">    Normal distribution</t>
  </si>
  <si>
    <t xml:space="preserve">  P(lower)</t>
  </si>
  <si>
    <t xml:space="preserve">  P(upper)</t>
  </si>
  <si>
    <t xml:space="preserve">z </t>
  </si>
  <si>
    <t xml:space="preserve">X </t>
  </si>
  <si>
    <t>mean</t>
  </si>
  <si>
    <t>std.dev</t>
  </si>
  <si>
    <t>b) Menor  o igual a 21 años</t>
  </si>
  <si>
    <r>
      <t xml:space="preserve">(X </t>
    </r>
    <r>
      <rPr>
        <sz val="10"/>
        <color rgb="FF000000"/>
        <rFont val="Calibri"/>
        <family val="2"/>
      </rPr>
      <t>≤</t>
    </r>
    <r>
      <rPr>
        <sz val="10"/>
        <color rgb="FF000000"/>
        <rFont val="Arial"/>
        <family val="2"/>
        <scheme val="minor"/>
      </rPr>
      <t xml:space="preserve"> 21)</t>
    </r>
  </si>
  <si>
    <t xml:space="preserve">En una encuesta se a determinado las edades  de 50 estudiantes normalmente distribuido con una media de 23 años y una desviación típica de 4 ¿ cuantos estudiantes tienen las edades </t>
  </si>
  <si>
    <t>c) entre 19 y 27 años</t>
  </si>
  <si>
    <r>
      <t xml:space="preserve">(22 </t>
    </r>
    <r>
      <rPr>
        <sz val="10"/>
        <color rgb="FF000000"/>
        <rFont val="Calibri"/>
        <family val="2"/>
      </rPr>
      <t xml:space="preserve">≤ X </t>
    </r>
    <r>
      <rPr>
        <sz val="10"/>
        <color rgb="FF000000"/>
        <rFont val="Arial"/>
        <family val="2"/>
        <scheme val="minor"/>
      </rPr>
      <t xml:space="preserve"> ≤ 25)</t>
    </r>
  </si>
  <si>
    <t>Los gastos de 50 alumnos de la UPDS se distribuyen normalmente con una media de 273bs con una desviacion estandar de 132bs hallar</t>
  </si>
  <si>
    <t>a)cual es la probabilidad de que los gastos de un alumno elegido al azar sea mayor o igual a 350 bs</t>
  </si>
  <si>
    <r>
      <t>(</t>
    </r>
    <r>
      <rPr>
        <sz val="10"/>
        <color rgb="FF000000"/>
        <rFont val="Calibri"/>
        <family val="2"/>
      </rPr>
      <t xml:space="preserve"> X </t>
    </r>
    <r>
      <rPr>
        <sz val="10"/>
        <color rgb="FF000000"/>
        <rFont val="Arial"/>
        <family val="2"/>
        <scheme val="minor"/>
      </rPr>
      <t xml:space="preserve"> &gt; 350)</t>
    </r>
  </si>
  <si>
    <t>alumnos</t>
  </si>
  <si>
    <t>proporcion</t>
  </si>
  <si>
    <t>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</si>
</sst>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m/d/yyyy\ h:mm:ss"/>
    <numFmt numFmtId="165" formatCode="0.0"/>
    <numFmt numFmtId="166" formatCode="0.000"/>
    <numFmt numFmtId="167" formatCode="0.0000"/>
    <numFmt numFmtId="168" formatCode=";;;"/>
    <numFmt numFmtId="169" formatCode=".0000"/>
    <numFmt numFmtId="170" formatCode="#,##0\ ;\-#,##0\ "/>
  </numFmts>
  <fonts count="19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9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9"/>
      <color theme="1"/>
      <name val="Arial"/>
      <family val="2"/>
      <scheme val="minor"/>
    </font>
    <font>
      <i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8"/>
      <color rgb="FF000000"/>
      <name val="Arial"/>
      <family val="2"/>
      <scheme val="minor"/>
    </font>
    <font>
      <sz val="8"/>
      <color rgb="FF000000"/>
      <name val="Arial"/>
      <family val="2"/>
      <scheme val="minor"/>
    </font>
    <font>
      <sz val="10"/>
      <color rgb="FF000000"/>
      <name val="Symbol"/>
      <family val="1"/>
      <charset val="2"/>
    </font>
    <font>
      <b/>
      <sz val="12"/>
      <color rgb="FF000000"/>
      <name val="Symbol"/>
      <family val="1"/>
      <charset val="2"/>
    </font>
    <font>
      <b/>
      <sz val="14"/>
      <color rgb="FF000000"/>
      <name val="Symbol"/>
      <family val="1"/>
      <charset val="2"/>
    </font>
    <font>
      <b/>
      <sz val="11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sz val="10"/>
      <color rgb="FF000000"/>
      <name val="Calibri"/>
      <family val="2"/>
    </font>
    <font>
      <sz val="10"/>
      <color rgb="FF000000"/>
      <name val="Arial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3" fontId="18" fillId="0" borderId="0" applyFont="0" applyFill="0" applyBorder="0" applyAlignment="0" applyProtection="0"/>
  </cellStyleXfs>
  <cellXfs count="168">
    <xf numFmtId="0" fontId="0" fillId="0" borderId="0" xfId="0" applyFont="1" applyAlignment="1"/>
    <xf numFmtId="164" fontId="1" fillId="0" borderId="0" xfId="0" applyNumberFormat="1" applyFont="1" applyAlignment="1"/>
    <xf numFmtId="0" fontId="1" fillId="0" borderId="0" xfId="0" applyFont="1" applyAlignment="1"/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1" fillId="0" borderId="1" xfId="0" applyFont="1" applyBorder="1" applyAlignment="1"/>
    <xf numFmtId="0" fontId="4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vertical="center" wrapText="1"/>
    </xf>
    <xf numFmtId="0" fontId="0" fillId="2" borderId="11" xfId="0" applyFill="1" applyBorder="1" applyAlignment="1">
      <alignment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wrapText="1"/>
    </xf>
    <xf numFmtId="0" fontId="0" fillId="2" borderId="12" xfId="0" applyFill="1" applyBorder="1" applyAlignment="1">
      <alignment wrapText="1"/>
    </xf>
    <xf numFmtId="0" fontId="4" fillId="2" borderId="12" xfId="0" applyFont="1" applyFill="1" applyBorder="1" applyAlignment="1">
      <alignment horizontal="center" vertical="center" wrapText="1"/>
    </xf>
    <xf numFmtId="0" fontId="0" fillId="3" borderId="13" xfId="0" applyFill="1" applyBorder="1" applyAlignment="1">
      <alignment wrapText="1"/>
    </xf>
    <xf numFmtId="0" fontId="6" fillId="3" borderId="12" xfId="0" applyFont="1" applyFill="1" applyBorder="1" applyAlignment="1">
      <alignment horizont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0" fillId="0" borderId="0" xfId="0"/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/>
    </xf>
    <xf numFmtId="0" fontId="4" fillId="0" borderId="17" xfId="0" applyFont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0" borderId="15" xfId="0" applyFont="1" applyFill="1" applyBorder="1" applyAlignment="1">
      <alignment horizontal="center" wrapText="1"/>
    </xf>
    <xf numFmtId="0" fontId="4" fillId="0" borderId="18" xfId="0" applyFont="1" applyFill="1" applyBorder="1" applyAlignment="1">
      <alignment horizontal="center" wrapText="1"/>
    </xf>
    <xf numFmtId="0" fontId="1" fillId="0" borderId="19" xfId="0" applyFont="1" applyBorder="1" applyAlignment="1"/>
    <xf numFmtId="0" fontId="1" fillId="0" borderId="20" xfId="0" applyFont="1" applyBorder="1" applyAlignment="1"/>
    <xf numFmtId="0" fontId="1" fillId="0" borderId="21" xfId="0" applyFont="1" applyBorder="1" applyAlignment="1"/>
    <xf numFmtId="0" fontId="1" fillId="0" borderId="22" xfId="0" applyFont="1" applyBorder="1" applyAlignment="1"/>
    <xf numFmtId="0" fontId="1" fillId="0" borderId="23" xfId="0" applyFont="1" applyBorder="1" applyAlignment="1"/>
    <xf numFmtId="0" fontId="1" fillId="0" borderId="24" xfId="0" applyFont="1" applyBorder="1" applyAlignment="1"/>
    <xf numFmtId="0" fontId="1" fillId="0" borderId="25" xfId="0" applyFont="1" applyBorder="1" applyAlignment="1"/>
    <xf numFmtId="0" fontId="1" fillId="0" borderId="26" xfId="0" applyFont="1" applyBorder="1" applyAlignment="1"/>
    <xf numFmtId="0" fontId="0" fillId="3" borderId="19" xfId="0" applyFont="1" applyFill="1" applyBorder="1" applyAlignment="1"/>
    <xf numFmtId="0" fontId="0" fillId="3" borderId="22" xfId="0" applyFont="1" applyFill="1" applyBorder="1" applyAlignment="1"/>
    <xf numFmtId="0" fontId="0" fillId="3" borderId="24" xfId="0" applyFont="1" applyFill="1" applyBorder="1" applyAlignment="1"/>
    <xf numFmtId="0" fontId="0" fillId="0" borderId="21" xfId="0" applyFont="1" applyBorder="1" applyAlignment="1">
      <alignment horizontal="center"/>
    </xf>
    <xf numFmtId="0" fontId="0" fillId="0" borderId="23" xfId="0" applyFont="1" applyBorder="1" applyAlignment="1">
      <alignment horizontal="center"/>
    </xf>
    <xf numFmtId="0" fontId="0" fillId="0" borderId="26" xfId="0" applyFont="1" applyBorder="1" applyAlignment="1">
      <alignment horizontal="center"/>
    </xf>
    <xf numFmtId="0" fontId="8" fillId="0" borderId="0" xfId="0" applyFont="1" applyAlignment="1"/>
    <xf numFmtId="0" fontId="8" fillId="0" borderId="0" xfId="0" applyNumberFormat="1" applyFont="1" applyAlignment="1"/>
    <xf numFmtId="9" fontId="4" fillId="0" borderId="12" xfId="1" applyFont="1" applyBorder="1" applyAlignment="1">
      <alignment horizontal="center" vertical="center" wrapText="1"/>
    </xf>
    <xf numFmtId="9" fontId="3" fillId="0" borderId="15" xfId="0" applyNumberFormat="1" applyFont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4" fillId="5" borderId="18" xfId="0" applyFont="1" applyFill="1" applyBorder="1" applyAlignment="1">
      <alignment horizontal="center" wrapText="1"/>
    </xf>
    <xf numFmtId="9" fontId="4" fillId="5" borderId="12" xfId="1" applyFont="1" applyFill="1" applyBorder="1" applyAlignment="1">
      <alignment horizontal="center" vertical="center" wrapText="1"/>
    </xf>
    <xf numFmtId="165" fontId="0" fillId="0" borderId="0" xfId="0" applyNumberFormat="1" applyFont="1" applyAlignment="1"/>
    <xf numFmtId="0" fontId="0" fillId="3" borderId="1" xfId="0" applyFont="1" applyFill="1" applyBorder="1" applyAlignment="1"/>
    <xf numFmtId="1" fontId="0" fillId="0" borderId="1" xfId="0" applyNumberFormat="1" applyFont="1" applyBorder="1" applyAlignment="1">
      <alignment horizontal="center"/>
    </xf>
    <xf numFmtId="0" fontId="4" fillId="0" borderId="15" xfId="0" applyFont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wrapText="1"/>
    </xf>
    <xf numFmtId="0" fontId="9" fillId="4" borderId="13" xfId="0" applyFont="1" applyFill="1" applyBorder="1" applyAlignment="1">
      <alignment horizontal="center" wrapText="1"/>
    </xf>
    <xf numFmtId="0" fontId="0" fillId="4" borderId="0" xfId="0" applyFont="1" applyFill="1" applyAlignment="1"/>
    <xf numFmtId="9" fontId="4" fillId="4" borderId="12" xfId="1" applyFont="1" applyFill="1" applyBorder="1" applyAlignment="1">
      <alignment horizontal="center" vertical="center" wrapText="1"/>
    </xf>
    <xf numFmtId="9" fontId="3" fillId="0" borderId="15" xfId="0" applyNumberFormat="1" applyFont="1" applyBorder="1" applyAlignment="1">
      <alignment horizontal="center"/>
    </xf>
    <xf numFmtId="0" fontId="10" fillId="3" borderId="13" xfId="0" applyFont="1" applyFill="1" applyBorder="1" applyAlignment="1">
      <alignment horizontal="center" vertical="center" wrapText="1"/>
    </xf>
    <xf numFmtId="9" fontId="3" fillId="0" borderId="15" xfId="1" applyFont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5" fillId="0" borderId="0" xfId="0" applyFont="1" applyAlignment="1"/>
    <xf numFmtId="0" fontId="4" fillId="4" borderId="13" xfId="0" applyFont="1" applyFill="1" applyBorder="1" applyAlignment="1">
      <alignment horizontal="center" wrapText="1"/>
    </xf>
    <xf numFmtId="0" fontId="10" fillId="0" borderId="1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9" xfId="0" applyFont="1" applyBorder="1" applyAlignment="1"/>
    <xf numFmtId="0" fontId="5" fillId="0" borderId="20" xfId="0" applyFont="1" applyBorder="1" applyAlignment="1"/>
    <xf numFmtId="0" fontId="5" fillId="0" borderId="21" xfId="0" applyFont="1" applyBorder="1" applyAlignment="1"/>
    <xf numFmtId="1" fontId="0" fillId="0" borderId="26" xfId="0" applyNumberFormat="1" applyFont="1" applyBorder="1" applyAlignment="1">
      <alignment horizontal="center"/>
    </xf>
    <xf numFmtId="1" fontId="4" fillId="0" borderId="12" xfId="0" applyNumberFormat="1" applyFont="1" applyBorder="1" applyAlignment="1">
      <alignment horizontal="center" vertical="center" wrapText="1"/>
    </xf>
    <xf numFmtId="1" fontId="4" fillId="4" borderId="12" xfId="0" applyNumberFormat="1" applyFont="1" applyFill="1" applyBorder="1" applyAlignment="1">
      <alignment horizontal="center" vertical="center" wrapText="1"/>
    </xf>
    <xf numFmtId="0" fontId="4" fillId="4" borderId="18" xfId="0" applyFont="1" applyFill="1" applyBorder="1" applyAlignment="1">
      <alignment horizontal="center" wrapText="1"/>
    </xf>
    <xf numFmtId="165" fontId="4" fillId="0" borderId="17" xfId="0" applyNumberFormat="1" applyFont="1" applyBorder="1" applyAlignment="1">
      <alignment horizontal="center" vertical="center" wrapText="1"/>
    </xf>
    <xf numFmtId="165" fontId="4" fillId="4" borderId="17" xfId="0" applyNumberFormat="1" applyFont="1" applyFill="1" applyBorder="1" applyAlignment="1">
      <alignment horizontal="center" vertical="center" wrapText="1"/>
    </xf>
    <xf numFmtId="2" fontId="0" fillId="0" borderId="1" xfId="0" applyNumberFormat="1" applyFont="1" applyBorder="1" applyAlignment="1">
      <alignment horizontal="center"/>
    </xf>
    <xf numFmtId="166" fontId="0" fillId="0" borderId="0" xfId="0" applyNumberFormat="1" applyFont="1" applyAlignment="1"/>
    <xf numFmtId="2" fontId="0" fillId="0" borderId="0" xfId="0" applyNumberFormat="1" applyFont="1" applyAlignment="1"/>
    <xf numFmtId="0" fontId="5" fillId="0" borderId="0" xfId="0" applyFont="1" applyBorder="1" applyAlignment="1"/>
    <xf numFmtId="0" fontId="4" fillId="6" borderId="12" xfId="0" applyFont="1" applyFill="1" applyBorder="1" applyAlignment="1">
      <alignment horizontal="center" vertical="center" wrapText="1"/>
    </xf>
    <xf numFmtId="0" fontId="4" fillId="6" borderId="13" xfId="0" applyFont="1" applyFill="1" applyBorder="1" applyAlignment="1">
      <alignment horizontal="center" vertical="center" wrapText="1"/>
    </xf>
    <xf numFmtId="1" fontId="4" fillId="6" borderId="12" xfId="0" applyNumberFormat="1" applyFont="1" applyFill="1" applyBorder="1" applyAlignment="1">
      <alignment horizontal="center" vertical="center" wrapText="1"/>
    </xf>
    <xf numFmtId="165" fontId="4" fillId="6" borderId="17" xfId="0" applyNumberFormat="1" applyFont="1" applyFill="1" applyBorder="1" applyAlignment="1">
      <alignment horizontal="center" vertical="center" wrapText="1"/>
    </xf>
    <xf numFmtId="0" fontId="4" fillId="6" borderId="15" xfId="0" applyFont="1" applyFill="1" applyBorder="1" applyAlignment="1">
      <alignment horizontal="center" wrapText="1"/>
    </xf>
    <xf numFmtId="9" fontId="4" fillId="6" borderId="12" xfId="1" applyFont="1" applyFill="1" applyBorder="1" applyAlignment="1">
      <alignment horizontal="center" vertical="center" wrapText="1"/>
    </xf>
    <xf numFmtId="0" fontId="2" fillId="0" borderId="0" xfId="0" applyFont="1" applyAlignment="1"/>
    <xf numFmtId="0" fontId="0" fillId="0" borderId="1" xfId="0" applyFont="1" applyBorder="1" applyAlignment="1"/>
    <xf numFmtId="0" fontId="0" fillId="0" borderId="19" xfId="0" applyFont="1" applyBorder="1" applyAlignment="1"/>
    <xf numFmtId="0" fontId="0" fillId="0" borderId="20" xfId="0" applyFont="1" applyBorder="1" applyAlignment="1"/>
    <xf numFmtId="0" fontId="2" fillId="0" borderId="21" xfId="0" applyFont="1" applyBorder="1" applyAlignment="1"/>
    <xf numFmtId="0" fontId="0" fillId="0" borderId="22" xfId="0" applyFont="1" applyBorder="1" applyAlignment="1"/>
    <xf numFmtId="0" fontId="0" fillId="0" borderId="24" xfId="0" applyFont="1" applyBorder="1" applyAlignment="1"/>
    <xf numFmtId="0" fontId="0" fillId="0" borderId="25" xfId="0" applyFont="1" applyBorder="1" applyAlignment="1"/>
    <xf numFmtId="0" fontId="11" fillId="6" borderId="29" xfId="0" applyFont="1" applyFill="1" applyBorder="1" applyAlignment="1"/>
    <xf numFmtId="0" fontId="0" fillId="6" borderId="29" xfId="0" applyFont="1" applyFill="1" applyBorder="1" applyAlignment="1"/>
    <xf numFmtId="0" fontId="0" fillId="6" borderId="18" xfId="0" applyFont="1" applyFill="1" applyBorder="1" applyAlignment="1"/>
    <xf numFmtId="0" fontId="0" fillId="7" borderId="11" xfId="0" applyFont="1" applyFill="1" applyBorder="1" applyAlignment="1"/>
    <xf numFmtId="0" fontId="0" fillId="7" borderId="16" xfId="0" applyFont="1" applyFill="1" applyBorder="1" applyAlignment="1"/>
    <xf numFmtId="0" fontId="0" fillId="7" borderId="15" xfId="0" applyFont="1" applyFill="1" applyBorder="1" applyAlignment="1"/>
    <xf numFmtId="0" fontId="12" fillId="0" borderId="0" xfId="0" applyFont="1" applyAlignment="1"/>
    <xf numFmtId="0" fontId="7" fillId="0" borderId="6" xfId="0" applyFont="1" applyFill="1" applyBorder="1" applyAlignment="1">
      <alignment horizontal="centerContinuous"/>
    </xf>
    <xf numFmtId="0" fontId="7" fillId="0" borderId="8" xfId="0" applyFont="1" applyFill="1" applyBorder="1" applyAlignment="1">
      <alignment horizontal="centerContinuous"/>
    </xf>
    <xf numFmtId="0" fontId="0" fillId="0" borderId="1" xfId="0" applyFill="1" applyBorder="1" applyAlignment="1"/>
    <xf numFmtId="2" fontId="0" fillId="0" borderId="1" xfId="0" applyNumberFormat="1" applyFill="1" applyBorder="1" applyAlignment="1"/>
    <xf numFmtId="0" fontId="2" fillId="0" borderId="19" xfId="0" applyFont="1" applyFill="1" applyBorder="1" applyAlignment="1"/>
    <xf numFmtId="165" fontId="2" fillId="0" borderId="21" xfId="0" applyNumberFormat="1" applyFont="1" applyFill="1" applyBorder="1" applyAlignment="1"/>
    <xf numFmtId="0" fontId="2" fillId="0" borderId="22" xfId="0" applyFont="1" applyFill="1" applyBorder="1" applyAlignment="1"/>
    <xf numFmtId="2" fontId="2" fillId="0" borderId="23" xfId="0" applyNumberFormat="1" applyFont="1" applyFill="1" applyBorder="1" applyAlignment="1"/>
    <xf numFmtId="0" fontId="2" fillId="0" borderId="23" xfId="0" applyFont="1" applyFill="1" applyBorder="1" applyAlignment="1"/>
    <xf numFmtId="0" fontId="2" fillId="0" borderId="24" xfId="0" applyFont="1" applyFill="1" applyBorder="1" applyAlignment="1"/>
    <xf numFmtId="0" fontId="2" fillId="0" borderId="26" xfId="0" applyFont="1" applyFill="1" applyBorder="1" applyAlignment="1"/>
    <xf numFmtId="0" fontId="0" fillId="0" borderId="27" xfId="0" applyFill="1" applyBorder="1" applyAlignment="1"/>
    <xf numFmtId="0" fontId="0" fillId="0" borderId="28" xfId="0" applyFill="1" applyBorder="1" applyAlignment="1"/>
    <xf numFmtId="2" fontId="4" fillId="0" borderId="17" xfId="0" applyNumberFormat="1" applyFont="1" applyBorder="1" applyAlignment="1">
      <alignment horizontal="center" vertical="center" wrapText="1"/>
    </xf>
    <xf numFmtId="2" fontId="4" fillId="5" borderId="17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/>
    <xf numFmtId="1" fontId="0" fillId="0" borderId="1" xfId="0" applyNumberFormat="1" applyFont="1" applyBorder="1" applyAlignment="1"/>
    <xf numFmtId="1" fontId="0" fillId="0" borderId="25" xfId="0" applyNumberFormat="1" applyFont="1" applyBorder="1" applyAlignment="1"/>
    <xf numFmtId="165" fontId="0" fillId="0" borderId="20" xfId="0" applyNumberFormat="1" applyFont="1" applyBorder="1" applyAlignment="1"/>
    <xf numFmtId="1" fontId="0" fillId="0" borderId="20" xfId="0" applyNumberFormat="1" applyFont="1" applyBorder="1" applyAlignment="1"/>
    <xf numFmtId="167" fontId="0" fillId="0" borderId="0" xfId="0" applyNumberFormat="1" applyFont="1" applyAlignment="1"/>
    <xf numFmtId="1" fontId="0" fillId="0" borderId="0" xfId="0" applyNumberFormat="1" applyFont="1" applyAlignme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3" fillId="0" borderId="1" xfId="0" applyFont="1" applyBorder="1" applyAlignment="1">
      <alignment horizontal="right"/>
    </xf>
    <xf numFmtId="0" fontId="14" fillId="0" borderId="1" xfId="0" applyFont="1" applyBorder="1" applyAlignment="1">
      <alignment horizontal="right"/>
    </xf>
    <xf numFmtId="0" fontId="15" fillId="0" borderId="1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168" fontId="2" fillId="0" borderId="0" xfId="0" applyNumberFormat="1" applyFont="1" applyAlignment="1"/>
    <xf numFmtId="0" fontId="16" fillId="0" borderId="0" xfId="0" applyFont="1" applyAlignment="1"/>
    <xf numFmtId="169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right"/>
    </xf>
    <xf numFmtId="170" fontId="2" fillId="0" borderId="0" xfId="0" applyNumberFormat="1" applyFont="1" applyAlignment="1">
      <alignment horizontal="right"/>
    </xf>
    <xf numFmtId="169" fontId="9" fillId="0" borderId="0" xfId="0" applyNumberFormat="1" applyFont="1" applyAlignment="1">
      <alignment horizontal="center"/>
    </xf>
    <xf numFmtId="167" fontId="0" fillId="0" borderId="0" xfId="1" applyNumberFormat="1" applyFont="1" applyAlignment="1"/>
    <xf numFmtId="0" fontId="1" fillId="9" borderId="20" xfId="0" applyFont="1" applyFill="1" applyBorder="1" applyAlignment="1"/>
    <xf numFmtId="0" fontId="1" fillId="9" borderId="22" xfId="0" applyFont="1" applyFill="1" applyBorder="1" applyAlignment="1"/>
    <xf numFmtId="0" fontId="1" fillId="9" borderId="1" xfId="0" applyFont="1" applyFill="1" applyBorder="1" applyAlignment="1"/>
    <xf numFmtId="0" fontId="1" fillId="9" borderId="23" xfId="0" applyFont="1" applyFill="1" applyBorder="1" applyAlignment="1"/>
    <xf numFmtId="0" fontId="1" fillId="9" borderId="25" xfId="0" applyFont="1" applyFill="1" applyBorder="1" applyAlignment="1"/>
    <xf numFmtId="0" fontId="1" fillId="9" borderId="26" xfId="0" applyFont="1" applyFill="1" applyBorder="1" applyAlignment="1"/>
    <xf numFmtId="43" fontId="2" fillId="0" borderId="0" xfId="2" applyFont="1" applyAlignment="1">
      <alignment horizontal="center"/>
    </xf>
    <xf numFmtId="167" fontId="0" fillId="0" borderId="6" xfId="0" applyNumberFormat="1" applyFont="1" applyBorder="1" applyAlignment="1"/>
    <xf numFmtId="167" fontId="0" fillId="0" borderId="7" xfId="0" applyNumberFormat="1" applyFont="1" applyBorder="1" applyAlignment="1"/>
    <xf numFmtId="1" fontId="0" fillId="0" borderId="8" xfId="0" applyNumberFormat="1" applyFont="1" applyBorder="1" applyAlignment="1"/>
    <xf numFmtId="9" fontId="0" fillId="0" borderId="0" xfId="1" applyFont="1" applyAlignment="1"/>
    <xf numFmtId="0" fontId="2" fillId="0" borderId="27" xfId="0" applyFont="1" applyFill="1" applyBorder="1" applyAlignment="1">
      <alignment horizontal="center"/>
    </xf>
    <xf numFmtId="0" fontId="2" fillId="0" borderId="28" xfId="0" applyFont="1" applyFill="1" applyBorder="1" applyAlignment="1">
      <alignment horizontal="center"/>
    </xf>
    <xf numFmtId="0" fontId="0" fillId="6" borderId="29" xfId="0" applyFont="1" applyFill="1" applyBorder="1" applyAlignment="1">
      <alignment horizontal="center"/>
    </xf>
    <xf numFmtId="0" fontId="0" fillId="6" borderId="18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0" fillId="0" borderId="27" xfId="0" applyFont="1" applyBorder="1" applyAlignment="1">
      <alignment horizontal="center"/>
    </xf>
    <xf numFmtId="0" fontId="0" fillId="0" borderId="28" xfId="0" applyFont="1" applyBorder="1" applyAlignment="1">
      <alignment horizontal="center"/>
    </xf>
  </cellXfs>
  <cellStyles count="3">
    <cellStyle name="Millares" xfId="2" builtinId="3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486132983377077"/>
          <c:y val="0.14814814814814814"/>
          <c:w val="0.84513867016622923"/>
          <c:h val="0.49238589967920676"/>
        </c:manualLayout>
      </c:layout>
      <c:barChart>
        <c:barDir val="col"/>
        <c:grouping val="clustered"/>
        <c:varyColors val="0"/>
        <c:ser>
          <c:idx val="0"/>
          <c:order val="0"/>
          <c:tx>
            <c:v>histograma de frecuencia</c:v>
          </c:tx>
          <c:spPr>
            <a:solidFill>
              <a:schemeClr val="accent1"/>
            </a:solidFill>
            <a:ln w="12700">
              <a:solidFill>
                <a:schemeClr val="tx1"/>
              </a:solidFill>
            </a:ln>
            <a:effectLst/>
          </c:spPr>
          <c:invertIfNegative val="0"/>
          <c:cat>
            <c:numRef>
              <c:f>'MED-DISPERSION'!$F$28:$F$34</c:f>
              <c:numCache>
                <c:formatCode>0.0</c:formatCode>
                <c:ptCount val="7"/>
                <c:pt idx="0">
                  <c:v>135.5</c:v>
                </c:pt>
                <c:pt idx="1">
                  <c:v>207</c:v>
                </c:pt>
                <c:pt idx="2">
                  <c:v>278.5</c:v>
                </c:pt>
                <c:pt idx="3">
                  <c:v>350</c:v>
                </c:pt>
                <c:pt idx="4">
                  <c:v>421.5</c:v>
                </c:pt>
                <c:pt idx="5">
                  <c:v>493</c:v>
                </c:pt>
                <c:pt idx="6">
                  <c:v>564.5</c:v>
                </c:pt>
              </c:numCache>
            </c:numRef>
          </c:cat>
          <c:val>
            <c:numRef>
              <c:f>'MED-DISPERSION'!$G$28:$G$34</c:f>
              <c:numCache>
                <c:formatCode>General</c:formatCode>
                <c:ptCount val="7"/>
                <c:pt idx="0">
                  <c:v>15</c:v>
                </c:pt>
                <c:pt idx="1">
                  <c:v>9</c:v>
                </c:pt>
                <c:pt idx="2">
                  <c:v>10</c:v>
                </c:pt>
                <c:pt idx="3">
                  <c:v>5</c:v>
                </c:pt>
                <c:pt idx="4">
                  <c:v>4</c:v>
                </c:pt>
                <c:pt idx="5">
                  <c:v>6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DD-4585-A831-2B1A17FDB5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701950768"/>
        <c:axId val="566006816"/>
      </c:barChart>
      <c:lineChart>
        <c:grouping val="standard"/>
        <c:varyColors val="0"/>
        <c:ser>
          <c:idx val="1"/>
          <c:order val="1"/>
          <c:tx>
            <c:v>poligono de frecuencia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'MED-DISPERSION'!$G$28:$G$34</c:f>
              <c:numCache>
                <c:formatCode>General</c:formatCode>
                <c:ptCount val="7"/>
                <c:pt idx="0">
                  <c:v>15</c:v>
                </c:pt>
                <c:pt idx="1">
                  <c:v>9</c:v>
                </c:pt>
                <c:pt idx="2">
                  <c:v>10</c:v>
                </c:pt>
                <c:pt idx="3">
                  <c:v>5</c:v>
                </c:pt>
                <c:pt idx="4">
                  <c:v>4</c:v>
                </c:pt>
                <c:pt idx="5">
                  <c:v>6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DD-4585-A831-2B1A17FDB5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1950768"/>
        <c:axId val="566006816"/>
      </c:lineChart>
      <c:catAx>
        <c:axId val="701950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BO"/>
                  <a:t>Marca de Clase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66006816"/>
        <c:crosses val="autoZero"/>
        <c:auto val="1"/>
        <c:lblAlgn val="ctr"/>
        <c:lblOffset val="100"/>
        <c:noMultiLvlLbl val="0"/>
      </c:catAx>
      <c:valAx>
        <c:axId val="56600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frecuencia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01950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407670</xdr:colOff>
      <xdr:row>35</xdr:row>
      <xdr:rowOff>137160</xdr:rowOff>
    </xdr:from>
    <xdr:to>
      <xdr:col>9</xdr:col>
      <xdr:colOff>731520</xdr:colOff>
      <xdr:row>53</xdr:row>
      <xdr:rowOff>144786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5B78CD2-F193-4267-9A68-2F980C5683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12</xdr:col>
      <xdr:colOff>179355</xdr:colOff>
      <xdr:row>19</xdr:row>
      <xdr:rowOff>129540</xdr:rowOff>
    </xdr:from>
    <xdr:to>
      <xdr:col>12</xdr:col>
      <xdr:colOff>435323</xdr:colOff>
      <xdr:row>21</xdr:row>
      <xdr:rowOff>34069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99B2DE9D-D7DE-4B3B-96FA-598C46CD93B1}"/>
            </a:ext>
          </a:extLst>
        </xdr:cNvPr>
        <xdr:cNvSpPr txBox="1"/>
      </xdr:nvSpPr>
      <xdr:spPr>
        <a:xfrm>
          <a:off x="8317515" y="3314700"/>
          <a:ext cx="255968" cy="23980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chemeClr val="lt1">
                  <a:shade val="50000"/>
                </a:schemeClr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pPr algn="ctr"/>
          <a:r>
            <a:rPr lang="es-BO" sz="1000" b="0" i="0">
              <a:latin typeface="Arial" panose="020B0604020202020204" pitchFamily="34" charset="0"/>
            </a:rPr>
            <a:t>3</a:t>
          </a:r>
        </a:p>
      </xdr:txBody>
    </xdr:sp>
    <xdr:clientData/>
  </xdr:twoCellAnchor>
  <xdr:twoCellAnchor editAs="absolute">
    <xdr:from>
      <xdr:col>10</xdr:col>
      <xdr:colOff>494315</xdr:colOff>
      <xdr:row>19</xdr:row>
      <xdr:rowOff>129540</xdr:rowOff>
    </xdr:from>
    <xdr:to>
      <xdr:col>10</xdr:col>
      <xdr:colOff>750283</xdr:colOff>
      <xdr:row>21</xdr:row>
      <xdr:rowOff>34069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44F5306D-FEEB-4EFF-BD78-C54BC97108B2}"/>
            </a:ext>
          </a:extLst>
        </xdr:cNvPr>
        <xdr:cNvSpPr txBox="1"/>
      </xdr:nvSpPr>
      <xdr:spPr>
        <a:xfrm>
          <a:off x="7047515" y="3314700"/>
          <a:ext cx="255968" cy="23980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chemeClr val="lt1">
                  <a:shade val="50000"/>
                </a:schemeClr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pPr algn="ctr"/>
          <a:r>
            <a:rPr lang="es-BO" sz="1000" b="0" i="0">
              <a:latin typeface="Arial" panose="020B0604020202020204" pitchFamily="34" charset="0"/>
            </a:rPr>
            <a:t>2</a:t>
          </a:r>
        </a:p>
      </xdr:txBody>
    </xdr:sp>
    <xdr:clientData/>
  </xdr:twoCellAnchor>
  <xdr:twoCellAnchor editAs="absolute">
    <xdr:from>
      <xdr:col>9</xdr:col>
      <xdr:colOff>16795</xdr:colOff>
      <xdr:row>19</xdr:row>
      <xdr:rowOff>129540</xdr:rowOff>
    </xdr:from>
    <xdr:to>
      <xdr:col>9</xdr:col>
      <xdr:colOff>272763</xdr:colOff>
      <xdr:row>21</xdr:row>
      <xdr:rowOff>34069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F4C5DD90-B5E4-4C38-AF08-9A80BD28883C}"/>
            </a:ext>
          </a:extLst>
        </xdr:cNvPr>
        <xdr:cNvSpPr txBox="1"/>
      </xdr:nvSpPr>
      <xdr:spPr>
        <a:xfrm>
          <a:off x="5777515" y="3314700"/>
          <a:ext cx="255968" cy="23980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chemeClr val="lt1">
                  <a:shade val="50000"/>
                </a:schemeClr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pPr algn="ctr"/>
          <a:r>
            <a:rPr lang="es-BO" sz="1000" b="0" i="0">
              <a:latin typeface="Arial" panose="020B0604020202020204" pitchFamily="34" charset="0"/>
            </a:rPr>
            <a:t>1</a:t>
          </a:r>
        </a:p>
      </xdr:txBody>
    </xdr:sp>
    <xdr:clientData/>
  </xdr:twoCellAnchor>
  <xdr:twoCellAnchor editAs="absolute">
    <xdr:from>
      <xdr:col>7</xdr:col>
      <xdr:colOff>72675</xdr:colOff>
      <xdr:row>19</xdr:row>
      <xdr:rowOff>129540</xdr:rowOff>
    </xdr:from>
    <xdr:to>
      <xdr:col>7</xdr:col>
      <xdr:colOff>328643</xdr:colOff>
      <xdr:row>21</xdr:row>
      <xdr:rowOff>34069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1A004D97-69D5-4177-B106-13056540D187}"/>
            </a:ext>
          </a:extLst>
        </xdr:cNvPr>
        <xdr:cNvSpPr txBox="1"/>
      </xdr:nvSpPr>
      <xdr:spPr>
        <a:xfrm>
          <a:off x="4507515" y="3314700"/>
          <a:ext cx="255968" cy="23980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chemeClr val="lt1">
                  <a:shade val="50000"/>
                </a:schemeClr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pPr algn="ctr"/>
          <a:r>
            <a:rPr lang="es-BO" sz="1000" b="0" i="0">
              <a:latin typeface="Arial" panose="020B0604020202020204" pitchFamily="34" charset="0"/>
            </a:rPr>
            <a:t>0</a:t>
          </a:r>
        </a:p>
      </xdr:txBody>
    </xdr:sp>
    <xdr:clientData/>
  </xdr:twoCellAnchor>
  <xdr:twoCellAnchor editAs="absolute">
    <xdr:from>
      <xdr:col>4</xdr:col>
      <xdr:colOff>381523</xdr:colOff>
      <xdr:row>19</xdr:row>
      <xdr:rowOff>129540</xdr:rowOff>
    </xdr:from>
    <xdr:to>
      <xdr:col>5</xdr:col>
      <xdr:colOff>146795</xdr:colOff>
      <xdr:row>21</xdr:row>
      <xdr:rowOff>34069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1D2C48AE-51F4-4099-B5B3-94D5A021DB58}"/>
            </a:ext>
          </a:extLst>
        </xdr:cNvPr>
        <xdr:cNvSpPr txBox="1"/>
      </xdr:nvSpPr>
      <xdr:spPr>
        <a:xfrm>
          <a:off x="3216163" y="3314700"/>
          <a:ext cx="298672" cy="23980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chemeClr val="lt1">
                  <a:shade val="50000"/>
                </a:schemeClr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pPr algn="ctr"/>
          <a:r>
            <a:rPr lang="es-BO" sz="1000" b="0" i="0">
              <a:latin typeface="Arial" panose="020B0604020202020204" pitchFamily="34" charset="0"/>
            </a:rPr>
            <a:t>-1</a:t>
          </a:r>
        </a:p>
      </xdr:txBody>
    </xdr:sp>
    <xdr:clientData/>
  </xdr:twoCellAnchor>
  <xdr:twoCellAnchor editAs="absolute">
    <xdr:from>
      <xdr:col>2</xdr:col>
      <xdr:colOff>361203</xdr:colOff>
      <xdr:row>19</xdr:row>
      <xdr:rowOff>129540</xdr:rowOff>
    </xdr:from>
    <xdr:to>
      <xdr:col>3</xdr:col>
      <xdr:colOff>50275</xdr:colOff>
      <xdr:row>21</xdr:row>
      <xdr:rowOff>34069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20E9DF93-164F-4B5A-A84E-B06DB2F9B7AB}"/>
            </a:ext>
          </a:extLst>
        </xdr:cNvPr>
        <xdr:cNvSpPr txBox="1"/>
      </xdr:nvSpPr>
      <xdr:spPr>
        <a:xfrm>
          <a:off x="1946163" y="3314700"/>
          <a:ext cx="298672" cy="23980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chemeClr val="lt1">
                  <a:shade val="50000"/>
                </a:schemeClr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pPr algn="ctr"/>
          <a:r>
            <a:rPr lang="es-BO" sz="1000" b="0" i="0">
              <a:latin typeface="Arial" panose="020B0604020202020204" pitchFamily="34" charset="0"/>
            </a:rPr>
            <a:t>-2</a:t>
          </a:r>
        </a:p>
      </xdr:txBody>
    </xdr:sp>
    <xdr:clientData/>
  </xdr:twoCellAnchor>
  <xdr:twoCellAnchor editAs="absolute">
    <xdr:from>
      <xdr:col>0</xdr:col>
      <xdr:colOff>676163</xdr:colOff>
      <xdr:row>19</xdr:row>
      <xdr:rowOff>129540</xdr:rowOff>
    </xdr:from>
    <xdr:to>
      <xdr:col>1</xdr:col>
      <xdr:colOff>182355</xdr:colOff>
      <xdr:row>21</xdr:row>
      <xdr:rowOff>34069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DFD21651-4BB9-4400-8D08-3231EE437218}"/>
            </a:ext>
          </a:extLst>
        </xdr:cNvPr>
        <xdr:cNvSpPr txBox="1"/>
      </xdr:nvSpPr>
      <xdr:spPr>
        <a:xfrm>
          <a:off x="676163" y="3314700"/>
          <a:ext cx="298672" cy="23980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chemeClr val="lt1">
                  <a:shade val="50000"/>
                </a:schemeClr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pPr algn="ctr"/>
          <a:r>
            <a:rPr lang="es-BO" sz="1000" b="0" i="0">
              <a:latin typeface="Arial" panose="020B0604020202020204" pitchFamily="34" charset="0"/>
            </a:rPr>
            <a:t>-3</a:t>
          </a:r>
        </a:p>
      </xdr:txBody>
    </xdr:sp>
    <xdr:clientData/>
  </xdr:twoCellAnchor>
  <xdr:twoCellAnchor editAs="absolute">
    <xdr:from>
      <xdr:col>0</xdr:col>
      <xdr:colOff>30977</xdr:colOff>
      <xdr:row>0</xdr:row>
      <xdr:rowOff>63500</xdr:rowOff>
    </xdr:from>
    <xdr:to>
      <xdr:col>0</xdr:col>
      <xdr:colOff>400822</xdr:colOff>
      <xdr:row>1</xdr:row>
      <xdr:rowOff>135669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782A3EB0-EA54-435B-A9D6-3D4484F3DFFA}"/>
            </a:ext>
          </a:extLst>
        </xdr:cNvPr>
        <xdr:cNvSpPr txBox="1"/>
      </xdr:nvSpPr>
      <xdr:spPr>
        <a:xfrm>
          <a:off x="30977" y="63500"/>
          <a:ext cx="369845" cy="23980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chemeClr val="lt1">
                  <a:shade val="50000"/>
                </a:schemeClr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pPr algn="ctr"/>
          <a:r>
            <a:rPr lang="es-BO" sz="1000" b="0" i="0">
              <a:latin typeface="Arial" panose="020B0604020202020204" pitchFamily="34" charset="0"/>
            </a:rPr>
            <a:t>f(z)</a:t>
          </a:r>
        </a:p>
      </xdr:txBody>
    </xdr:sp>
    <xdr:clientData/>
  </xdr:twoCellAnchor>
  <xdr:twoCellAnchor editAs="absolute">
    <xdr:from>
      <xdr:col>0</xdr:col>
      <xdr:colOff>91507</xdr:colOff>
      <xdr:row>19</xdr:row>
      <xdr:rowOff>129540</xdr:rowOff>
    </xdr:from>
    <xdr:to>
      <xdr:col>0</xdr:col>
      <xdr:colOff>340293</xdr:colOff>
      <xdr:row>21</xdr:row>
      <xdr:rowOff>34069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513B41A5-E277-4CA6-9F1A-B5E2B3734F22}"/>
            </a:ext>
          </a:extLst>
        </xdr:cNvPr>
        <xdr:cNvSpPr txBox="1"/>
      </xdr:nvSpPr>
      <xdr:spPr>
        <a:xfrm>
          <a:off x="91507" y="3314700"/>
          <a:ext cx="248786" cy="23980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chemeClr val="lt1">
                  <a:shade val="50000"/>
                </a:schemeClr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pPr algn="ctr"/>
          <a:r>
            <a:rPr lang="es-BO" sz="1000" b="0" i="0">
              <a:latin typeface="Arial" panose="020B0604020202020204" pitchFamily="34" charset="0"/>
            </a:rPr>
            <a:t>z</a:t>
          </a:r>
        </a:p>
      </xdr:txBody>
    </xdr:sp>
    <xdr:clientData/>
  </xdr:twoCellAnchor>
  <xdr:twoCellAnchor editAs="absolute">
    <xdr:from>
      <xdr:col>0</xdr:col>
      <xdr:colOff>190500</xdr:colOff>
      <xdr:row>1</xdr:row>
      <xdr:rowOff>86360</xdr:rowOff>
    </xdr:from>
    <xdr:to>
      <xdr:col>13</xdr:col>
      <xdr:colOff>149861</xdr:colOff>
      <xdr:row>19</xdr:row>
      <xdr:rowOff>142241</xdr:rowOff>
    </xdr:to>
    <xdr:sp macro="" textlink="">
      <xdr:nvSpPr>
        <xdr:cNvPr id="11" name="Forma libre: forma 10">
          <a:extLst>
            <a:ext uri="{FF2B5EF4-FFF2-40B4-BE49-F238E27FC236}">
              <a16:creationId xmlns:a16="http://schemas.microsoft.com/office/drawing/2014/main" id="{88BF1B9D-F723-4762-8F80-10506D49A8D3}"/>
            </a:ext>
          </a:extLst>
        </xdr:cNvPr>
        <xdr:cNvSpPr/>
      </xdr:nvSpPr>
      <xdr:spPr>
        <a:xfrm>
          <a:off x="190500" y="254000"/>
          <a:ext cx="8890001" cy="3073401"/>
        </a:xfrm>
        <a:custGeom>
          <a:avLst/>
          <a:gdLst/>
          <a:ahLst/>
          <a:cxnLst/>
          <a:rect l="0" t="0" r="0" b="0"/>
          <a:pathLst>
            <a:path w="8890001" h="3073401">
              <a:moveTo>
                <a:pt x="8890000" y="3022600"/>
              </a:moveTo>
              <a:lnTo>
                <a:pt x="8255000" y="3022600"/>
              </a:lnTo>
              <a:lnTo>
                <a:pt x="8255000" y="3073400"/>
              </a:lnTo>
              <a:lnTo>
                <a:pt x="8255000" y="3022600"/>
              </a:lnTo>
              <a:lnTo>
                <a:pt x="6985000" y="3022600"/>
              </a:lnTo>
              <a:lnTo>
                <a:pt x="6985000" y="3073400"/>
              </a:lnTo>
              <a:lnTo>
                <a:pt x="6985000" y="3022600"/>
              </a:lnTo>
              <a:lnTo>
                <a:pt x="5715000" y="3022600"/>
              </a:lnTo>
              <a:lnTo>
                <a:pt x="5715000" y="3073400"/>
              </a:lnTo>
              <a:lnTo>
                <a:pt x="5715000" y="3022600"/>
              </a:lnTo>
              <a:lnTo>
                <a:pt x="4445000" y="3022600"/>
              </a:lnTo>
              <a:lnTo>
                <a:pt x="4445000" y="3073400"/>
              </a:lnTo>
              <a:lnTo>
                <a:pt x="4445000" y="3022600"/>
              </a:lnTo>
              <a:lnTo>
                <a:pt x="3175000" y="3022600"/>
              </a:lnTo>
              <a:lnTo>
                <a:pt x="3175000" y="3073400"/>
              </a:lnTo>
              <a:lnTo>
                <a:pt x="3175000" y="3022600"/>
              </a:lnTo>
              <a:lnTo>
                <a:pt x="1905000" y="3022600"/>
              </a:lnTo>
              <a:lnTo>
                <a:pt x="1905000" y="3073400"/>
              </a:lnTo>
              <a:lnTo>
                <a:pt x="1905000" y="3022600"/>
              </a:lnTo>
              <a:lnTo>
                <a:pt x="635000" y="3022600"/>
              </a:lnTo>
              <a:lnTo>
                <a:pt x="635000" y="3073400"/>
              </a:lnTo>
              <a:lnTo>
                <a:pt x="635000" y="3022600"/>
              </a:lnTo>
              <a:lnTo>
                <a:pt x="0" y="3022600"/>
              </a:lnTo>
              <a:lnTo>
                <a:pt x="0" y="3015988"/>
              </a:lnTo>
              <a:lnTo>
                <a:pt x="127000" y="3013264"/>
              </a:lnTo>
              <a:lnTo>
                <a:pt x="254000" y="3009549"/>
              </a:lnTo>
              <a:lnTo>
                <a:pt x="381000" y="3004537"/>
              </a:lnTo>
              <a:lnTo>
                <a:pt x="508000" y="2997849"/>
              </a:lnTo>
              <a:lnTo>
                <a:pt x="635000" y="2989022"/>
              </a:lnTo>
              <a:lnTo>
                <a:pt x="762000" y="2977500"/>
              </a:lnTo>
              <a:lnTo>
                <a:pt x="889000" y="2962628"/>
              </a:lnTo>
              <a:lnTo>
                <a:pt x="1016000" y="2943646"/>
              </a:lnTo>
              <a:lnTo>
                <a:pt x="1143000" y="2919688"/>
              </a:lnTo>
              <a:lnTo>
                <a:pt x="1270000" y="2889796"/>
              </a:lnTo>
              <a:lnTo>
                <a:pt x="1397000" y="2852927"/>
              </a:lnTo>
              <a:lnTo>
                <a:pt x="1524000" y="2807979"/>
              </a:lnTo>
              <a:lnTo>
                <a:pt x="1651000" y="2753826"/>
              </a:lnTo>
              <a:lnTo>
                <a:pt x="1778000" y="2689357"/>
              </a:lnTo>
              <a:lnTo>
                <a:pt x="1905000" y="2613536"/>
              </a:lnTo>
              <a:lnTo>
                <a:pt x="2032000" y="2525459"/>
              </a:lnTo>
              <a:lnTo>
                <a:pt x="2159000" y="2424431"/>
              </a:lnTo>
              <a:lnTo>
                <a:pt x="2286000" y="2310034"/>
              </a:lnTo>
              <a:lnTo>
                <a:pt x="2413000" y="2182204"/>
              </a:lnTo>
              <a:lnTo>
                <a:pt x="2540000" y="2041305"/>
              </a:lnTo>
              <a:lnTo>
                <a:pt x="2667000" y="1888185"/>
              </a:lnTo>
              <a:lnTo>
                <a:pt x="2794000" y="1724220"/>
              </a:lnTo>
              <a:lnTo>
                <a:pt x="2921000" y="1551343"/>
              </a:lnTo>
              <a:lnTo>
                <a:pt x="3048000" y="1372035"/>
              </a:lnTo>
              <a:lnTo>
                <a:pt x="3175000" y="1189300"/>
              </a:lnTo>
              <a:lnTo>
                <a:pt x="3302000" y="1006596"/>
              </a:lnTo>
              <a:lnTo>
                <a:pt x="3429000" y="827742"/>
              </a:lnTo>
              <a:lnTo>
                <a:pt x="3556000" y="656797"/>
              </a:lnTo>
              <a:lnTo>
                <a:pt x="3683000" y="497912"/>
              </a:lnTo>
              <a:lnTo>
                <a:pt x="3810000" y="355165"/>
              </a:lnTo>
              <a:lnTo>
                <a:pt x="3937000" y="232389"/>
              </a:lnTo>
              <a:lnTo>
                <a:pt x="4064000" y="133002"/>
              </a:lnTo>
              <a:lnTo>
                <a:pt x="4191000" y="59851"/>
              </a:lnTo>
              <a:lnTo>
                <a:pt x="4318000" y="15075"/>
              </a:lnTo>
              <a:lnTo>
                <a:pt x="4445000" y="0"/>
              </a:lnTo>
              <a:lnTo>
                <a:pt x="4572000" y="15075"/>
              </a:lnTo>
              <a:lnTo>
                <a:pt x="4699000" y="59851"/>
              </a:lnTo>
              <a:lnTo>
                <a:pt x="4826000" y="133002"/>
              </a:lnTo>
              <a:lnTo>
                <a:pt x="4953000" y="232389"/>
              </a:lnTo>
              <a:lnTo>
                <a:pt x="5080000" y="355165"/>
              </a:lnTo>
              <a:lnTo>
                <a:pt x="5207000" y="497912"/>
              </a:lnTo>
              <a:lnTo>
                <a:pt x="5334000" y="656797"/>
              </a:lnTo>
              <a:lnTo>
                <a:pt x="5461000" y="827742"/>
              </a:lnTo>
              <a:lnTo>
                <a:pt x="5588000" y="1006596"/>
              </a:lnTo>
              <a:lnTo>
                <a:pt x="5715000" y="1189300"/>
              </a:lnTo>
              <a:lnTo>
                <a:pt x="5842000" y="1372035"/>
              </a:lnTo>
              <a:lnTo>
                <a:pt x="5969000" y="1551343"/>
              </a:lnTo>
              <a:lnTo>
                <a:pt x="6096000" y="1724220"/>
              </a:lnTo>
              <a:lnTo>
                <a:pt x="6223000" y="1888185"/>
              </a:lnTo>
              <a:lnTo>
                <a:pt x="6350000" y="2041305"/>
              </a:lnTo>
              <a:lnTo>
                <a:pt x="6477000" y="2182204"/>
              </a:lnTo>
              <a:lnTo>
                <a:pt x="6604000" y="2310034"/>
              </a:lnTo>
              <a:lnTo>
                <a:pt x="6731000" y="2424431"/>
              </a:lnTo>
              <a:lnTo>
                <a:pt x="6858000" y="2525459"/>
              </a:lnTo>
              <a:lnTo>
                <a:pt x="6985000" y="2613536"/>
              </a:lnTo>
              <a:lnTo>
                <a:pt x="7112000" y="2689357"/>
              </a:lnTo>
              <a:lnTo>
                <a:pt x="7239000" y="2753826"/>
              </a:lnTo>
              <a:lnTo>
                <a:pt x="7366000" y="2807979"/>
              </a:lnTo>
              <a:lnTo>
                <a:pt x="7493000" y="2852927"/>
              </a:lnTo>
              <a:lnTo>
                <a:pt x="7620000" y="2889796"/>
              </a:lnTo>
              <a:lnTo>
                <a:pt x="7747000" y="2919688"/>
              </a:lnTo>
              <a:lnTo>
                <a:pt x="7874000" y="2943646"/>
              </a:lnTo>
              <a:lnTo>
                <a:pt x="8001000" y="2962628"/>
              </a:lnTo>
              <a:lnTo>
                <a:pt x="8128000" y="2977500"/>
              </a:lnTo>
              <a:lnTo>
                <a:pt x="8255000" y="2989022"/>
              </a:lnTo>
              <a:lnTo>
                <a:pt x="8382000" y="2997849"/>
              </a:lnTo>
              <a:lnTo>
                <a:pt x="8509000" y="3004537"/>
              </a:lnTo>
              <a:lnTo>
                <a:pt x="8636000" y="3009549"/>
              </a:lnTo>
              <a:lnTo>
                <a:pt x="8763000" y="3013264"/>
              </a:lnTo>
              <a:lnTo>
                <a:pt x="8890000" y="3015988"/>
              </a:lnTo>
            </a:path>
          </a:pathLst>
        </a:custGeom>
        <a:solidFill>
          <a:srgbClr val="F8F8F8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twoCellAnchor editAs="absolute">
    <xdr:from>
      <xdr:col>0</xdr:col>
      <xdr:colOff>190500</xdr:colOff>
      <xdr:row>1</xdr:row>
      <xdr:rowOff>86360</xdr:rowOff>
    </xdr:from>
    <xdr:to>
      <xdr:col>9</xdr:col>
      <xdr:colOff>144781</xdr:colOff>
      <xdr:row>21</xdr:row>
      <xdr:rowOff>10161</xdr:rowOff>
    </xdr:to>
    <xdr:sp macro="" textlink="">
      <xdr:nvSpPr>
        <xdr:cNvPr id="15" name="Forma libre: forma 14">
          <a:extLst>
            <a:ext uri="{FF2B5EF4-FFF2-40B4-BE49-F238E27FC236}">
              <a16:creationId xmlns:a16="http://schemas.microsoft.com/office/drawing/2014/main" id="{E4C7B1D6-6BA3-4037-B422-5527A8FC7F96}"/>
            </a:ext>
          </a:extLst>
        </xdr:cNvPr>
        <xdr:cNvSpPr/>
      </xdr:nvSpPr>
      <xdr:spPr>
        <a:xfrm>
          <a:off x="190500" y="254000"/>
          <a:ext cx="5715001" cy="3276601"/>
        </a:xfrm>
        <a:custGeom>
          <a:avLst/>
          <a:gdLst/>
          <a:ahLst/>
          <a:cxnLst/>
          <a:rect l="0" t="0" r="0" b="0"/>
          <a:pathLst>
            <a:path w="5715001" h="3276601">
              <a:moveTo>
                <a:pt x="5715000" y="3022600"/>
              </a:moveTo>
              <a:lnTo>
                <a:pt x="0" y="3022600"/>
              </a:lnTo>
              <a:lnTo>
                <a:pt x="0" y="3015988"/>
              </a:lnTo>
              <a:lnTo>
                <a:pt x="127000" y="3013264"/>
              </a:lnTo>
              <a:lnTo>
                <a:pt x="254000" y="3009549"/>
              </a:lnTo>
              <a:lnTo>
                <a:pt x="381000" y="3004537"/>
              </a:lnTo>
              <a:lnTo>
                <a:pt x="508000" y="2997849"/>
              </a:lnTo>
              <a:lnTo>
                <a:pt x="635000" y="2989022"/>
              </a:lnTo>
              <a:lnTo>
                <a:pt x="762000" y="2977500"/>
              </a:lnTo>
              <a:lnTo>
                <a:pt x="889000" y="2962628"/>
              </a:lnTo>
              <a:lnTo>
                <a:pt x="1016000" y="2943646"/>
              </a:lnTo>
              <a:lnTo>
                <a:pt x="1143000" y="2919688"/>
              </a:lnTo>
              <a:lnTo>
                <a:pt x="1270000" y="2889796"/>
              </a:lnTo>
              <a:lnTo>
                <a:pt x="1397000" y="2852927"/>
              </a:lnTo>
              <a:lnTo>
                <a:pt x="1524000" y="2807979"/>
              </a:lnTo>
              <a:lnTo>
                <a:pt x="1651000" y="2753826"/>
              </a:lnTo>
              <a:lnTo>
                <a:pt x="1778000" y="2689357"/>
              </a:lnTo>
              <a:lnTo>
                <a:pt x="1905000" y="2613536"/>
              </a:lnTo>
              <a:lnTo>
                <a:pt x="2032000" y="2525459"/>
              </a:lnTo>
              <a:lnTo>
                <a:pt x="2159000" y="2424431"/>
              </a:lnTo>
              <a:lnTo>
                <a:pt x="2286000" y="2310034"/>
              </a:lnTo>
              <a:lnTo>
                <a:pt x="2413000" y="2182204"/>
              </a:lnTo>
              <a:lnTo>
                <a:pt x="2540000" y="2041305"/>
              </a:lnTo>
              <a:lnTo>
                <a:pt x="2667000" y="1888185"/>
              </a:lnTo>
              <a:lnTo>
                <a:pt x="2794000" y="1724220"/>
              </a:lnTo>
              <a:lnTo>
                <a:pt x="2921000" y="1551343"/>
              </a:lnTo>
              <a:lnTo>
                <a:pt x="3048000" y="1372035"/>
              </a:lnTo>
              <a:lnTo>
                <a:pt x="3175000" y="1189300"/>
              </a:lnTo>
              <a:lnTo>
                <a:pt x="3302000" y="1006596"/>
              </a:lnTo>
              <a:lnTo>
                <a:pt x="3429000" y="827742"/>
              </a:lnTo>
              <a:lnTo>
                <a:pt x="3556000" y="656797"/>
              </a:lnTo>
              <a:lnTo>
                <a:pt x="3683000" y="497912"/>
              </a:lnTo>
              <a:lnTo>
                <a:pt x="3810000" y="355165"/>
              </a:lnTo>
              <a:lnTo>
                <a:pt x="3937000" y="232389"/>
              </a:lnTo>
              <a:lnTo>
                <a:pt x="4064000" y="133002"/>
              </a:lnTo>
              <a:lnTo>
                <a:pt x="4191000" y="59851"/>
              </a:lnTo>
              <a:lnTo>
                <a:pt x="4318000" y="15075"/>
              </a:lnTo>
              <a:lnTo>
                <a:pt x="4445000" y="0"/>
              </a:lnTo>
              <a:lnTo>
                <a:pt x="4572000" y="15075"/>
              </a:lnTo>
              <a:lnTo>
                <a:pt x="4699000" y="59851"/>
              </a:lnTo>
              <a:lnTo>
                <a:pt x="4826000" y="133002"/>
              </a:lnTo>
              <a:lnTo>
                <a:pt x="4953000" y="232389"/>
              </a:lnTo>
              <a:lnTo>
                <a:pt x="5080000" y="355165"/>
              </a:lnTo>
              <a:lnTo>
                <a:pt x="5207000" y="497912"/>
              </a:lnTo>
              <a:lnTo>
                <a:pt x="5334000" y="656797"/>
              </a:lnTo>
              <a:lnTo>
                <a:pt x="5461000" y="827742"/>
              </a:lnTo>
              <a:lnTo>
                <a:pt x="5588000" y="1006596"/>
              </a:lnTo>
              <a:lnTo>
                <a:pt x="5715000" y="1189300"/>
              </a:lnTo>
              <a:lnTo>
                <a:pt x="5715000" y="3276600"/>
              </a:lnTo>
              <a:close/>
            </a:path>
          </a:pathLst>
        </a:custGeom>
        <a:solidFill>
          <a:schemeClr val="accent3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twoCellAnchor editAs="absolute">
    <xdr:from>
      <xdr:col>0</xdr:col>
      <xdr:colOff>190500</xdr:colOff>
      <xdr:row>1</xdr:row>
      <xdr:rowOff>86360</xdr:rowOff>
    </xdr:from>
    <xdr:to>
      <xdr:col>0</xdr:col>
      <xdr:colOff>190500</xdr:colOff>
      <xdr:row>19</xdr:row>
      <xdr:rowOff>91440</xdr:rowOff>
    </xdr:to>
    <xdr:cxnSp macro="">
      <xdr:nvCxnSpPr>
        <xdr:cNvPr id="12" name="Conector recto 11">
          <a:extLst>
            <a:ext uri="{FF2B5EF4-FFF2-40B4-BE49-F238E27FC236}">
              <a16:creationId xmlns:a16="http://schemas.microsoft.com/office/drawing/2014/main" id="{27167419-105C-4558-B38D-A9F5D992D7FA}"/>
            </a:ext>
          </a:extLst>
        </xdr:cNvPr>
        <xdr:cNvCxnSpPr/>
      </xdr:nvCxnSpPr>
      <xdr:spPr>
        <a:xfrm flipV="1">
          <a:off x="190500" y="254000"/>
          <a:ext cx="0" cy="3022600"/>
        </a:xfrm>
        <a:prstGeom prst="line">
          <a:avLst/>
        </a:prstGeom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190500</xdr:colOff>
      <xdr:row>8</xdr:row>
      <xdr:rowOff>102180</xdr:rowOff>
    </xdr:from>
    <xdr:to>
      <xdr:col>4</xdr:col>
      <xdr:colOff>530861</xdr:colOff>
      <xdr:row>21</xdr:row>
      <xdr:rowOff>10161</xdr:rowOff>
    </xdr:to>
    <xdr:sp macro="" textlink="">
      <xdr:nvSpPr>
        <xdr:cNvPr id="13" name="Forma libre: forma 12">
          <a:extLst>
            <a:ext uri="{FF2B5EF4-FFF2-40B4-BE49-F238E27FC236}">
              <a16:creationId xmlns:a16="http://schemas.microsoft.com/office/drawing/2014/main" id="{1E232982-0ADD-46C0-886B-D4FC11DFB584}"/>
            </a:ext>
          </a:extLst>
        </xdr:cNvPr>
        <xdr:cNvSpPr/>
      </xdr:nvSpPr>
      <xdr:spPr>
        <a:xfrm>
          <a:off x="190500" y="1443300"/>
          <a:ext cx="3175001" cy="2087301"/>
        </a:xfrm>
        <a:custGeom>
          <a:avLst/>
          <a:gdLst/>
          <a:ahLst/>
          <a:cxnLst/>
          <a:rect l="0" t="0" r="0" b="0"/>
          <a:pathLst>
            <a:path w="3175001" h="2087301">
              <a:moveTo>
                <a:pt x="3175000" y="1833300"/>
              </a:moveTo>
              <a:lnTo>
                <a:pt x="0" y="1833300"/>
              </a:lnTo>
              <a:lnTo>
                <a:pt x="0" y="1826688"/>
              </a:lnTo>
              <a:lnTo>
                <a:pt x="127000" y="1823964"/>
              </a:lnTo>
              <a:lnTo>
                <a:pt x="254000" y="1820249"/>
              </a:lnTo>
              <a:lnTo>
                <a:pt x="381000" y="1815237"/>
              </a:lnTo>
              <a:lnTo>
                <a:pt x="508000" y="1808549"/>
              </a:lnTo>
              <a:lnTo>
                <a:pt x="635000" y="1799722"/>
              </a:lnTo>
              <a:lnTo>
                <a:pt x="762000" y="1788200"/>
              </a:lnTo>
              <a:lnTo>
                <a:pt x="889000" y="1773328"/>
              </a:lnTo>
              <a:lnTo>
                <a:pt x="1016000" y="1754346"/>
              </a:lnTo>
              <a:lnTo>
                <a:pt x="1143000" y="1730388"/>
              </a:lnTo>
              <a:lnTo>
                <a:pt x="1270000" y="1700496"/>
              </a:lnTo>
              <a:lnTo>
                <a:pt x="1397000" y="1663627"/>
              </a:lnTo>
              <a:lnTo>
                <a:pt x="1524000" y="1618679"/>
              </a:lnTo>
              <a:lnTo>
                <a:pt x="1651000" y="1564526"/>
              </a:lnTo>
              <a:lnTo>
                <a:pt x="1778000" y="1500057"/>
              </a:lnTo>
              <a:lnTo>
                <a:pt x="1905000" y="1424236"/>
              </a:lnTo>
              <a:lnTo>
                <a:pt x="2032000" y="1336159"/>
              </a:lnTo>
              <a:lnTo>
                <a:pt x="2159000" y="1235131"/>
              </a:lnTo>
              <a:lnTo>
                <a:pt x="2286000" y="1120734"/>
              </a:lnTo>
              <a:lnTo>
                <a:pt x="2413000" y="992904"/>
              </a:lnTo>
              <a:lnTo>
                <a:pt x="2540000" y="852005"/>
              </a:lnTo>
              <a:lnTo>
                <a:pt x="2667000" y="698885"/>
              </a:lnTo>
              <a:lnTo>
                <a:pt x="2794000" y="534920"/>
              </a:lnTo>
              <a:lnTo>
                <a:pt x="2921000" y="362043"/>
              </a:lnTo>
              <a:lnTo>
                <a:pt x="3048000" y="182735"/>
              </a:lnTo>
              <a:lnTo>
                <a:pt x="3175000" y="0"/>
              </a:lnTo>
              <a:lnTo>
                <a:pt x="3175000" y="2087300"/>
              </a:lnTo>
              <a:close/>
            </a:path>
          </a:pathLst>
        </a:cu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twoCellAnchor editAs="absolute">
    <xdr:from>
      <xdr:col>4</xdr:col>
      <xdr:colOff>292397</xdr:colOff>
      <xdr:row>21</xdr:row>
      <xdr:rowOff>10160</xdr:rowOff>
    </xdr:from>
    <xdr:to>
      <xdr:col>5</xdr:col>
      <xdr:colOff>235922</xdr:colOff>
      <xdr:row>22</xdr:row>
      <xdr:rowOff>82329</xdr:rowOff>
    </xdr:to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D25AB6E3-E957-4E3F-9824-D08DB7B48AB9}"/>
            </a:ext>
          </a:extLst>
        </xdr:cNvPr>
        <xdr:cNvSpPr txBox="1"/>
      </xdr:nvSpPr>
      <xdr:spPr>
        <a:xfrm>
          <a:off x="3127037" y="3530600"/>
          <a:ext cx="476925" cy="23980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0"/>
          </a:srgbClr>
        </a:solidFill>
        <a:ln w="9525" cap="flat" cmpd="sng" algn="ctr">
          <a:solidFill>
            <a:schemeClr val="lt1">
              <a:shade val="50000"/>
            </a:schemeClr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pPr algn="ctr"/>
          <a:r>
            <a:rPr lang="es-BO" sz="1000" b="0" i="0">
              <a:latin typeface="Arial" panose="020B0604020202020204" pitchFamily="34" charset="0"/>
            </a:rPr>
            <a:t>-1.00</a:t>
          </a:r>
        </a:p>
      </xdr:txBody>
    </xdr:sp>
    <xdr:clientData/>
  </xdr:twoCellAnchor>
  <xdr:twoCellAnchor editAs="absolute">
    <xdr:from>
      <xdr:col>8</xdr:col>
      <xdr:colOff>720150</xdr:colOff>
      <xdr:row>21</xdr:row>
      <xdr:rowOff>10160</xdr:rowOff>
    </xdr:from>
    <xdr:to>
      <xdr:col>9</xdr:col>
      <xdr:colOff>361891</xdr:colOff>
      <xdr:row>22</xdr:row>
      <xdr:rowOff>82329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2488D455-44A2-4CA8-861E-9B273434D270}"/>
            </a:ext>
          </a:extLst>
        </xdr:cNvPr>
        <xdr:cNvSpPr txBox="1"/>
      </xdr:nvSpPr>
      <xdr:spPr>
        <a:xfrm>
          <a:off x="5688390" y="3530600"/>
          <a:ext cx="434221" cy="23980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0"/>
          </a:srgbClr>
        </a:solidFill>
        <a:ln w="9525" cap="flat" cmpd="sng" algn="ctr">
          <a:solidFill>
            <a:schemeClr val="lt1">
              <a:shade val="50000"/>
            </a:schemeClr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pPr algn="ctr"/>
          <a:r>
            <a:rPr lang="es-BO" sz="1000" b="0" i="0">
              <a:latin typeface="Arial" panose="020B0604020202020204" pitchFamily="34" charset="0"/>
            </a:rPr>
            <a:t>1.00</a:t>
          </a:r>
        </a:p>
      </xdr:txBody>
    </xdr:sp>
    <xdr:clientData/>
  </xdr:twoCellAnchor>
  <xdr:twoCellAnchor editAs="absolute">
    <xdr:from>
      <xdr:col>12</xdr:col>
      <xdr:colOff>179355</xdr:colOff>
      <xdr:row>51</xdr:row>
      <xdr:rowOff>129540</xdr:rowOff>
    </xdr:from>
    <xdr:to>
      <xdr:col>12</xdr:col>
      <xdr:colOff>435323</xdr:colOff>
      <xdr:row>53</xdr:row>
      <xdr:rowOff>34069</xdr:rowOff>
    </xdr:to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0C937EBA-BDC3-451A-B85F-C42D1D13406D}"/>
            </a:ext>
          </a:extLst>
        </xdr:cNvPr>
        <xdr:cNvSpPr txBox="1"/>
      </xdr:nvSpPr>
      <xdr:spPr>
        <a:xfrm>
          <a:off x="8317515" y="8702040"/>
          <a:ext cx="255968" cy="23980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chemeClr val="lt1">
                  <a:shade val="50000"/>
                </a:schemeClr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pPr algn="ctr"/>
          <a:r>
            <a:rPr lang="es-BO" sz="1000" b="0" i="0">
              <a:latin typeface="Arial" panose="020B0604020202020204" pitchFamily="34" charset="0"/>
            </a:rPr>
            <a:t>3</a:t>
          </a:r>
        </a:p>
      </xdr:txBody>
    </xdr:sp>
    <xdr:clientData/>
  </xdr:twoCellAnchor>
  <xdr:twoCellAnchor editAs="absolute">
    <xdr:from>
      <xdr:col>10</xdr:col>
      <xdr:colOff>494315</xdr:colOff>
      <xdr:row>51</xdr:row>
      <xdr:rowOff>129540</xdr:rowOff>
    </xdr:from>
    <xdr:to>
      <xdr:col>10</xdr:col>
      <xdr:colOff>750283</xdr:colOff>
      <xdr:row>53</xdr:row>
      <xdr:rowOff>34069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B324D1F9-7137-43F5-A7D0-441A2E49730F}"/>
            </a:ext>
          </a:extLst>
        </xdr:cNvPr>
        <xdr:cNvSpPr txBox="1"/>
      </xdr:nvSpPr>
      <xdr:spPr>
        <a:xfrm>
          <a:off x="7047515" y="8702040"/>
          <a:ext cx="255968" cy="23980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chemeClr val="lt1">
                  <a:shade val="50000"/>
                </a:schemeClr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pPr algn="ctr"/>
          <a:r>
            <a:rPr lang="es-BO" sz="1000" b="0" i="0">
              <a:latin typeface="Arial" panose="020B0604020202020204" pitchFamily="34" charset="0"/>
            </a:rPr>
            <a:t>2</a:t>
          </a:r>
        </a:p>
      </xdr:txBody>
    </xdr:sp>
    <xdr:clientData/>
  </xdr:twoCellAnchor>
  <xdr:twoCellAnchor editAs="absolute">
    <xdr:from>
      <xdr:col>9</xdr:col>
      <xdr:colOff>16795</xdr:colOff>
      <xdr:row>51</xdr:row>
      <xdr:rowOff>129540</xdr:rowOff>
    </xdr:from>
    <xdr:to>
      <xdr:col>9</xdr:col>
      <xdr:colOff>272763</xdr:colOff>
      <xdr:row>53</xdr:row>
      <xdr:rowOff>34069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37A9D0C3-4E27-4596-851A-6D2947EC0EE3}"/>
            </a:ext>
          </a:extLst>
        </xdr:cNvPr>
        <xdr:cNvSpPr txBox="1"/>
      </xdr:nvSpPr>
      <xdr:spPr>
        <a:xfrm>
          <a:off x="5777515" y="8702040"/>
          <a:ext cx="255968" cy="23980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chemeClr val="lt1">
                  <a:shade val="50000"/>
                </a:schemeClr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pPr algn="ctr"/>
          <a:r>
            <a:rPr lang="es-BO" sz="1000" b="0" i="0">
              <a:latin typeface="Arial" panose="020B0604020202020204" pitchFamily="34" charset="0"/>
            </a:rPr>
            <a:t>1</a:t>
          </a:r>
        </a:p>
      </xdr:txBody>
    </xdr:sp>
    <xdr:clientData/>
  </xdr:twoCellAnchor>
  <xdr:twoCellAnchor editAs="absolute">
    <xdr:from>
      <xdr:col>7</xdr:col>
      <xdr:colOff>72675</xdr:colOff>
      <xdr:row>51</xdr:row>
      <xdr:rowOff>129540</xdr:rowOff>
    </xdr:from>
    <xdr:to>
      <xdr:col>7</xdr:col>
      <xdr:colOff>328643</xdr:colOff>
      <xdr:row>53</xdr:row>
      <xdr:rowOff>34069</xdr:rowOff>
    </xdr:to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448364FC-FBEC-4EDE-BEBD-59EF59A5037A}"/>
            </a:ext>
          </a:extLst>
        </xdr:cNvPr>
        <xdr:cNvSpPr txBox="1"/>
      </xdr:nvSpPr>
      <xdr:spPr>
        <a:xfrm>
          <a:off x="4507515" y="8702040"/>
          <a:ext cx="255968" cy="23980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chemeClr val="lt1">
                  <a:shade val="50000"/>
                </a:schemeClr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pPr algn="ctr"/>
          <a:r>
            <a:rPr lang="es-BO" sz="1000" b="0" i="0">
              <a:latin typeface="Arial" panose="020B0604020202020204" pitchFamily="34" charset="0"/>
            </a:rPr>
            <a:t>0</a:t>
          </a:r>
        </a:p>
      </xdr:txBody>
    </xdr:sp>
    <xdr:clientData/>
  </xdr:twoCellAnchor>
  <xdr:twoCellAnchor editAs="absolute">
    <xdr:from>
      <xdr:col>4</xdr:col>
      <xdr:colOff>381523</xdr:colOff>
      <xdr:row>51</xdr:row>
      <xdr:rowOff>129540</xdr:rowOff>
    </xdr:from>
    <xdr:to>
      <xdr:col>5</xdr:col>
      <xdr:colOff>146795</xdr:colOff>
      <xdr:row>53</xdr:row>
      <xdr:rowOff>34069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1777EA68-E6FB-40D8-919C-BBFE40AED188}"/>
            </a:ext>
          </a:extLst>
        </xdr:cNvPr>
        <xdr:cNvSpPr txBox="1"/>
      </xdr:nvSpPr>
      <xdr:spPr>
        <a:xfrm>
          <a:off x="3216163" y="8702040"/>
          <a:ext cx="298672" cy="23980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chemeClr val="lt1">
                  <a:shade val="50000"/>
                </a:schemeClr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pPr algn="ctr"/>
          <a:r>
            <a:rPr lang="es-BO" sz="1000" b="0" i="0">
              <a:latin typeface="Arial" panose="020B0604020202020204" pitchFamily="34" charset="0"/>
            </a:rPr>
            <a:t>-1</a:t>
          </a:r>
        </a:p>
      </xdr:txBody>
    </xdr:sp>
    <xdr:clientData/>
  </xdr:twoCellAnchor>
  <xdr:twoCellAnchor editAs="absolute">
    <xdr:from>
      <xdr:col>2</xdr:col>
      <xdr:colOff>361203</xdr:colOff>
      <xdr:row>51</xdr:row>
      <xdr:rowOff>129540</xdr:rowOff>
    </xdr:from>
    <xdr:to>
      <xdr:col>3</xdr:col>
      <xdr:colOff>50275</xdr:colOff>
      <xdr:row>53</xdr:row>
      <xdr:rowOff>34069</xdr:rowOff>
    </xdr:to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9F1CD512-1FA4-4969-87E5-C581524ECE61}"/>
            </a:ext>
          </a:extLst>
        </xdr:cNvPr>
        <xdr:cNvSpPr txBox="1"/>
      </xdr:nvSpPr>
      <xdr:spPr>
        <a:xfrm>
          <a:off x="1946163" y="8702040"/>
          <a:ext cx="298672" cy="23980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chemeClr val="lt1">
                  <a:shade val="50000"/>
                </a:schemeClr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pPr algn="ctr"/>
          <a:r>
            <a:rPr lang="es-BO" sz="1000" b="0" i="0">
              <a:latin typeface="Arial" panose="020B0604020202020204" pitchFamily="34" charset="0"/>
            </a:rPr>
            <a:t>-2</a:t>
          </a:r>
        </a:p>
      </xdr:txBody>
    </xdr:sp>
    <xdr:clientData/>
  </xdr:twoCellAnchor>
  <xdr:twoCellAnchor editAs="absolute">
    <xdr:from>
      <xdr:col>0</xdr:col>
      <xdr:colOff>676163</xdr:colOff>
      <xdr:row>51</xdr:row>
      <xdr:rowOff>129540</xdr:rowOff>
    </xdr:from>
    <xdr:to>
      <xdr:col>1</xdr:col>
      <xdr:colOff>182355</xdr:colOff>
      <xdr:row>53</xdr:row>
      <xdr:rowOff>34069</xdr:rowOff>
    </xdr:to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AE8C2F9D-1133-4341-97C7-ABDC1A6A810A}"/>
            </a:ext>
          </a:extLst>
        </xdr:cNvPr>
        <xdr:cNvSpPr txBox="1"/>
      </xdr:nvSpPr>
      <xdr:spPr>
        <a:xfrm>
          <a:off x="676163" y="8702040"/>
          <a:ext cx="298672" cy="23980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chemeClr val="lt1">
                  <a:shade val="50000"/>
                </a:schemeClr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pPr algn="ctr"/>
          <a:r>
            <a:rPr lang="es-BO" sz="1000" b="0" i="0">
              <a:latin typeface="Arial" panose="020B0604020202020204" pitchFamily="34" charset="0"/>
            </a:rPr>
            <a:t>-3</a:t>
          </a:r>
        </a:p>
      </xdr:txBody>
    </xdr:sp>
    <xdr:clientData/>
  </xdr:twoCellAnchor>
  <xdr:twoCellAnchor editAs="absolute">
    <xdr:from>
      <xdr:col>0</xdr:col>
      <xdr:colOff>30977</xdr:colOff>
      <xdr:row>32</xdr:row>
      <xdr:rowOff>63500</xdr:rowOff>
    </xdr:from>
    <xdr:to>
      <xdr:col>0</xdr:col>
      <xdr:colOff>400822</xdr:colOff>
      <xdr:row>33</xdr:row>
      <xdr:rowOff>135669</xdr:rowOff>
    </xdr:to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94774014-15DB-43F7-A734-D813237F4D16}"/>
            </a:ext>
          </a:extLst>
        </xdr:cNvPr>
        <xdr:cNvSpPr txBox="1"/>
      </xdr:nvSpPr>
      <xdr:spPr>
        <a:xfrm>
          <a:off x="30977" y="5450840"/>
          <a:ext cx="369845" cy="23980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chemeClr val="lt1">
                  <a:shade val="50000"/>
                </a:schemeClr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pPr algn="ctr"/>
          <a:r>
            <a:rPr lang="es-BO" sz="1000" b="0" i="0">
              <a:latin typeface="Arial" panose="020B0604020202020204" pitchFamily="34" charset="0"/>
            </a:rPr>
            <a:t>f(z)</a:t>
          </a:r>
        </a:p>
      </xdr:txBody>
    </xdr:sp>
    <xdr:clientData/>
  </xdr:twoCellAnchor>
  <xdr:twoCellAnchor editAs="absolute">
    <xdr:from>
      <xdr:col>0</xdr:col>
      <xdr:colOff>91507</xdr:colOff>
      <xdr:row>51</xdr:row>
      <xdr:rowOff>129540</xdr:rowOff>
    </xdr:from>
    <xdr:to>
      <xdr:col>0</xdr:col>
      <xdr:colOff>340293</xdr:colOff>
      <xdr:row>53</xdr:row>
      <xdr:rowOff>34069</xdr:rowOff>
    </xdr:to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A5BED786-EC96-4F56-9FEF-89DC0DB43CB4}"/>
            </a:ext>
          </a:extLst>
        </xdr:cNvPr>
        <xdr:cNvSpPr txBox="1"/>
      </xdr:nvSpPr>
      <xdr:spPr>
        <a:xfrm>
          <a:off x="91507" y="8702040"/>
          <a:ext cx="248786" cy="23980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chemeClr val="lt1">
                  <a:shade val="50000"/>
                </a:schemeClr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pPr algn="ctr"/>
          <a:r>
            <a:rPr lang="es-BO" sz="1000" b="0" i="0">
              <a:latin typeface="Arial" panose="020B0604020202020204" pitchFamily="34" charset="0"/>
            </a:rPr>
            <a:t>z</a:t>
          </a:r>
        </a:p>
      </xdr:txBody>
    </xdr:sp>
    <xdr:clientData/>
  </xdr:twoCellAnchor>
  <xdr:twoCellAnchor editAs="absolute">
    <xdr:from>
      <xdr:col>0</xdr:col>
      <xdr:colOff>190500</xdr:colOff>
      <xdr:row>33</xdr:row>
      <xdr:rowOff>86360</xdr:rowOff>
    </xdr:from>
    <xdr:to>
      <xdr:col>13</xdr:col>
      <xdr:colOff>149861</xdr:colOff>
      <xdr:row>51</xdr:row>
      <xdr:rowOff>142241</xdr:rowOff>
    </xdr:to>
    <xdr:sp macro="" textlink="">
      <xdr:nvSpPr>
        <xdr:cNvPr id="26" name="Forma libre: forma 25">
          <a:extLst>
            <a:ext uri="{FF2B5EF4-FFF2-40B4-BE49-F238E27FC236}">
              <a16:creationId xmlns:a16="http://schemas.microsoft.com/office/drawing/2014/main" id="{1B0047AB-C252-4847-92EB-54AAEFEFE1A5}"/>
            </a:ext>
          </a:extLst>
        </xdr:cNvPr>
        <xdr:cNvSpPr/>
      </xdr:nvSpPr>
      <xdr:spPr>
        <a:xfrm>
          <a:off x="190500" y="5641340"/>
          <a:ext cx="8890001" cy="3073401"/>
        </a:xfrm>
        <a:custGeom>
          <a:avLst/>
          <a:gdLst/>
          <a:ahLst/>
          <a:cxnLst/>
          <a:rect l="0" t="0" r="0" b="0"/>
          <a:pathLst>
            <a:path w="8890001" h="3073401">
              <a:moveTo>
                <a:pt x="8890000" y="3022600"/>
              </a:moveTo>
              <a:lnTo>
                <a:pt x="8255000" y="3022600"/>
              </a:lnTo>
              <a:lnTo>
                <a:pt x="8255000" y="3073400"/>
              </a:lnTo>
              <a:lnTo>
                <a:pt x="8255000" y="3022600"/>
              </a:lnTo>
              <a:lnTo>
                <a:pt x="6985000" y="3022600"/>
              </a:lnTo>
              <a:lnTo>
                <a:pt x="6985000" y="3073400"/>
              </a:lnTo>
              <a:lnTo>
                <a:pt x="6985000" y="3022600"/>
              </a:lnTo>
              <a:lnTo>
                <a:pt x="5715000" y="3022600"/>
              </a:lnTo>
              <a:lnTo>
                <a:pt x="5715000" y="3073400"/>
              </a:lnTo>
              <a:lnTo>
                <a:pt x="5715000" y="3022600"/>
              </a:lnTo>
              <a:lnTo>
                <a:pt x="4445000" y="3022600"/>
              </a:lnTo>
              <a:lnTo>
                <a:pt x="4445000" y="3073400"/>
              </a:lnTo>
              <a:lnTo>
                <a:pt x="4445000" y="3022600"/>
              </a:lnTo>
              <a:lnTo>
                <a:pt x="3175000" y="3022600"/>
              </a:lnTo>
              <a:lnTo>
                <a:pt x="3175000" y="3073400"/>
              </a:lnTo>
              <a:lnTo>
                <a:pt x="3175000" y="3022600"/>
              </a:lnTo>
              <a:lnTo>
                <a:pt x="1905000" y="3022600"/>
              </a:lnTo>
              <a:lnTo>
                <a:pt x="1905000" y="3073400"/>
              </a:lnTo>
              <a:lnTo>
                <a:pt x="1905000" y="3022600"/>
              </a:lnTo>
              <a:lnTo>
                <a:pt x="635000" y="3022600"/>
              </a:lnTo>
              <a:lnTo>
                <a:pt x="635000" y="3073400"/>
              </a:lnTo>
              <a:lnTo>
                <a:pt x="635000" y="3022600"/>
              </a:lnTo>
              <a:lnTo>
                <a:pt x="0" y="3022600"/>
              </a:lnTo>
              <a:lnTo>
                <a:pt x="0" y="3015988"/>
              </a:lnTo>
              <a:lnTo>
                <a:pt x="127000" y="3013264"/>
              </a:lnTo>
              <a:lnTo>
                <a:pt x="254000" y="3009549"/>
              </a:lnTo>
              <a:lnTo>
                <a:pt x="381000" y="3004537"/>
              </a:lnTo>
              <a:lnTo>
                <a:pt x="508000" y="2997849"/>
              </a:lnTo>
              <a:lnTo>
                <a:pt x="635000" y="2989022"/>
              </a:lnTo>
              <a:lnTo>
                <a:pt x="762000" y="2977501"/>
              </a:lnTo>
              <a:lnTo>
                <a:pt x="889000" y="2962629"/>
              </a:lnTo>
              <a:lnTo>
                <a:pt x="1016000" y="2943645"/>
              </a:lnTo>
              <a:lnTo>
                <a:pt x="1143000" y="2919688"/>
              </a:lnTo>
              <a:lnTo>
                <a:pt x="1270000" y="2889796"/>
              </a:lnTo>
              <a:lnTo>
                <a:pt x="1397000" y="2852927"/>
              </a:lnTo>
              <a:lnTo>
                <a:pt x="1524000" y="2807979"/>
              </a:lnTo>
              <a:lnTo>
                <a:pt x="1651000" y="2753826"/>
              </a:lnTo>
              <a:lnTo>
                <a:pt x="1778000" y="2689357"/>
              </a:lnTo>
              <a:lnTo>
                <a:pt x="1905000" y="2613535"/>
              </a:lnTo>
              <a:lnTo>
                <a:pt x="2032000" y="2525459"/>
              </a:lnTo>
              <a:lnTo>
                <a:pt x="2159000" y="2424431"/>
              </a:lnTo>
              <a:lnTo>
                <a:pt x="2286000" y="2310034"/>
              </a:lnTo>
              <a:lnTo>
                <a:pt x="2413000" y="2182204"/>
              </a:lnTo>
              <a:lnTo>
                <a:pt x="2540000" y="2041306"/>
              </a:lnTo>
              <a:lnTo>
                <a:pt x="2667000" y="1888185"/>
              </a:lnTo>
              <a:lnTo>
                <a:pt x="2794000" y="1724220"/>
              </a:lnTo>
              <a:lnTo>
                <a:pt x="2921000" y="1551343"/>
              </a:lnTo>
              <a:lnTo>
                <a:pt x="3048000" y="1372036"/>
              </a:lnTo>
              <a:lnTo>
                <a:pt x="3175000" y="1189300"/>
              </a:lnTo>
              <a:lnTo>
                <a:pt x="3302000" y="1006596"/>
              </a:lnTo>
              <a:lnTo>
                <a:pt x="3429000" y="827742"/>
              </a:lnTo>
              <a:lnTo>
                <a:pt x="3556000" y="656797"/>
              </a:lnTo>
              <a:lnTo>
                <a:pt x="3683000" y="497912"/>
              </a:lnTo>
              <a:lnTo>
                <a:pt x="3810000" y="355165"/>
              </a:lnTo>
              <a:lnTo>
                <a:pt x="3937000" y="232389"/>
              </a:lnTo>
              <a:lnTo>
                <a:pt x="4064000" y="133002"/>
              </a:lnTo>
              <a:lnTo>
                <a:pt x="4191000" y="59852"/>
              </a:lnTo>
              <a:lnTo>
                <a:pt x="4318000" y="15075"/>
              </a:lnTo>
              <a:lnTo>
                <a:pt x="4445000" y="0"/>
              </a:lnTo>
              <a:lnTo>
                <a:pt x="4572000" y="15075"/>
              </a:lnTo>
              <a:lnTo>
                <a:pt x="4699000" y="59852"/>
              </a:lnTo>
              <a:lnTo>
                <a:pt x="4826000" y="133002"/>
              </a:lnTo>
              <a:lnTo>
                <a:pt x="4953000" y="232389"/>
              </a:lnTo>
              <a:lnTo>
                <a:pt x="5080000" y="355165"/>
              </a:lnTo>
              <a:lnTo>
                <a:pt x="5207000" y="497912"/>
              </a:lnTo>
              <a:lnTo>
                <a:pt x="5334000" y="656797"/>
              </a:lnTo>
              <a:lnTo>
                <a:pt x="5461000" y="827742"/>
              </a:lnTo>
              <a:lnTo>
                <a:pt x="5588000" y="1006596"/>
              </a:lnTo>
              <a:lnTo>
                <a:pt x="5715000" y="1189300"/>
              </a:lnTo>
              <a:lnTo>
                <a:pt x="5842000" y="1372036"/>
              </a:lnTo>
              <a:lnTo>
                <a:pt x="5969000" y="1551343"/>
              </a:lnTo>
              <a:lnTo>
                <a:pt x="6096000" y="1724220"/>
              </a:lnTo>
              <a:lnTo>
                <a:pt x="6223000" y="1888185"/>
              </a:lnTo>
              <a:lnTo>
                <a:pt x="6350000" y="2041306"/>
              </a:lnTo>
              <a:lnTo>
                <a:pt x="6477000" y="2182204"/>
              </a:lnTo>
              <a:lnTo>
                <a:pt x="6604000" y="2310034"/>
              </a:lnTo>
              <a:lnTo>
                <a:pt x="6731000" y="2424431"/>
              </a:lnTo>
              <a:lnTo>
                <a:pt x="6858000" y="2525459"/>
              </a:lnTo>
              <a:lnTo>
                <a:pt x="6985000" y="2613535"/>
              </a:lnTo>
              <a:lnTo>
                <a:pt x="7112000" y="2689357"/>
              </a:lnTo>
              <a:lnTo>
                <a:pt x="7239000" y="2753826"/>
              </a:lnTo>
              <a:lnTo>
                <a:pt x="7366000" y="2807979"/>
              </a:lnTo>
              <a:lnTo>
                <a:pt x="7493000" y="2852927"/>
              </a:lnTo>
              <a:lnTo>
                <a:pt x="7620000" y="2889796"/>
              </a:lnTo>
              <a:lnTo>
                <a:pt x="7747000" y="2919688"/>
              </a:lnTo>
              <a:lnTo>
                <a:pt x="7874000" y="2943645"/>
              </a:lnTo>
              <a:lnTo>
                <a:pt x="8001000" y="2962629"/>
              </a:lnTo>
              <a:lnTo>
                <a:pt x="8128000" y="2977501"/>
              </a:lnTo>
              <a:lnTo>
                <a:pt x="8255000" y="2989022"/>
              </a:lnTo>
              <a:lnTo>
                <a:pt x="8382000" y="2997849"/>
              </a:lnTo>
              <a:lnTo>
                <a:pt x="8509000" y="3004537"/>
              </a:lnTo>
              <a:lnTo>
                <a:pt x="8636000" y="3009549"/>
              </a:lnTo>
              <a:lnTo>
                <a:pt x="8763000" y="3013264"/>
              </a:lnTo>
              <a:lnTo>
                <a:pt x="8890000" y="3015988"/>
              </a:lnTo>
            </a:path>
          </a:pathLst>
        </a:custGeom>
        <a:solidFill>
          <a:srgbClr val="F8F8F8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twoCellAnchor editAs="absolute">
    <xdr:from>
      <xdr:col>0</xdr:col>
      <xdr:colOff>190500</xdr:colOff>
      <xdr:row>33</xdr:row>
      <xdr:rowOff>86360</xdr:rowOff>
    </xdr:from>
    <xdr:to>
      <xdr:col>0</xdr:col>
      <xdr:colOff>190500</xdr:colOff>
      <xdr:row>51</xdr:row>
      <xdr:rowOff>91440</xdr:rowOff>
    </xdr:to>
    <xdr:cxnSp macro="">
      <xdr:nvCxnSpPr>
        <xdr:cNvPr id="27" name="Conector recto 26">
          <a:extLst>
            <a:ext uri="{FF2B5EF4-FFF2-40B4-BE49-F238E27FC236}">
              <a16:creationId xmlns:a16="http://schemas.microsoft.com/office/drawing/2014/main" id="{9253CFAC-308E-4215-8720-88F999C50289}"/>
            </a:ext>
          </a:extLst>
        </xdr:cNvPr>
        <xdr:cNvCxnSpPr/>
      </xdr:nvCxnSpPr>
      <xdr:spPr>
        <a:xfrm flipV="1">
          <a:off x="190500" y="5641340"/>
          <a:ext cx="0" cy="3022600"/>
        </a:xfrm>
        <a:prstGeom prst="line">
          <a:avLst/>
        </a:prstGeom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190501</xdr:colOff>
      <xdr:row>33</xdr:row>
      <xdr:rowOff>83820</xdr:rowOff>
    </xdr:from>
    <xdr:to>
      <xdr:col>9</xdr:col>
      <xdr:colOff>137160</xdr:colOff>
      <xdr:row>53</xdr:row>
      <xdr:rowOff>10161</xdr:rowOff>
    </xdr:to>
    <xdr:sp macro="" textlink="">
      <xdr:nvSpPr>
        <xdr:cNvPr id="30" name="Forma libre: forma 29">
          <a:extLst>
            <a:ext uri="{FF2B5EF4-FFF2-40B4-BE49-F238E27FC236}">
              <a16:creationId xmlns:a16="http://schemas.microsoft.com/office/drawing/2014/main" id="{1B6FC87F-2327-4E62-8A86-06646820F8B8}"/>
            </a:ext>
          </a:extLst>
        </xdr:cNvPr>
        <xdr:cNvSpPr/>
      </xdr:nvSpPr>
      <xdr:spPr>
        <a:xfrm>
          <a:off x="190501" y="5638800"/>
          <a:ext cx="5707379" cy="3279141"/>
        </a:xfrm>
        <a:custGeom>
          <a:avLst/>
          <a:gdLst/>
          <a:ahLst/>
          <a:cxnLst/>
          <a:rect l="0" t="0" r="0" b="0"/>
          <a:pathLst>
            <a:path w="5715001" h="3276601">
              <a:moveTo>
                <a:pt x="5715000" y="3022600"/>
              </a:moveTo>
              <a:lnTo>
                <a:pt x="0" y="3022600"/>
              </a:lnTo>
              <a:lnTo>
                <a:pt x="0" y="3015988"/>
              </a:lnTo>
              <a:lnTo>
                <a:pt x="127000" y="3013264"/>
              </a:lnTo>
              <a:lnTo>
                <a:pt x="254000" y="3009549"/>
              </a:lnTo>
              <a:lnTo>
                <a:pt x="381000" y="3004537"/>
              </a:lnTo>
              <a:lnTo>
                <a:pt x="508000" y="2997849"/>
              </a:lnTo>
              <a:lnTo>
                <a:pt x="635000" y="2989022"/>
              </a:lnTo>
              <a:lnTo>
                <a:pt x="762000" y="2977501"/>
              </a:lnTo>
              <a:lnTo>
                <a:pt x="889000" y="2962629"/>
              </a:lnTo>
              <a:lnTo>
                <a:pt x="1016000" y="2943645"/>
              </a:lnTo>
              <a:lnTo>
                <a:pt x="1143000" y="2919688"/>
              </a:lnTo>
              <a:lnTo>
                <a:pt x="1270000" y="2889796"/>
              </a:lnTo>
              <a:lnTo>
                <a:pt x="1397000" y="2852927"/>
              </a:lnTo>
              <a:lnTo>
                <a:pt x="1524000" y="2807979"/>
              </a:lnTo>
              <a:lnTo>
                <a:pt x="1651000" y="2753826"/>
              </a:lnTo>
              <a:lnTo>
                <a:pt x="1778000" y="2689357"/>
              </a:lnTo>
              <a:lnTo>
                <a:pt x="1905000" y="2613535"/>
              </a:lnTo>
              <a:lnTo>
                <a:pt x="2032000" y="2525459"/>
              </a:lnTo>
              <a:lnTo>
                <a:pt x="2159000" y="2424431"/>
              </a:lnTo>
              <a:lnTo>
                <a:pt x="2286000" y="2310034"/>
              </a:lnTo>
              <a:lnTo>
                <a:pt x="2413000" y="2182204"/>
              </a:lnTo>
              <a:lnTo>
                <a:pt x="2540000" y="2041306"/>
              </a:lnTo>
              <a:lnTo>
                <a:pt x="2667000" y="1888185"/>
              </a:lnTo>
              <a:lnTo>
                <a:pt x="2794000" y="1724220"/>
              </a:lnTo>
              <a:lnTo>
                <a:pt x="2921000" y="1551343"/>
              </a:lnTo>
              <a:lnTo>
                <a:pt x="3048000" y="1372036"/>
              </a:lnTo>
              <a:lnTo>
                <a:pt x="3175000" y="1189300"/>
              </a:lnTo>
              <a:lnTo>
                <a:pt x="3302000" y="1006596"/>
              </a:lnTo>
              <a:lnTo>
                <a:pt x="3429000" y="827742"/>
              </a:lnTo>
              <a:lnTo>
                <a:pt x="3556000" y="656797"/>
              </a:lnTo>
              <a:lnTo>
                <a:pt x="3683000" y="497912"/>
              </a:lnTo>
              <a:lnTo>
                <a:pt x="3810000" y="355165"/>
              </a:lnTo>
              <a:lnTo>
                <a:pt x="3937000" y="232389"/>
              </a:lnTo>
              <a:lnTo>
                <a:pt x="4064000" y="133002"/>
              </a:lnTo>
              <a:lnTo>
                <a:pt x="4191000" y="59852"/>
              </a:lnTo>
              <a:lnTo>
                <a:pt x="4318000" y="15075"/>
              </a:lnTo>
              <a:lnTo>
                <a:pt x="4445000" y="0"/>
              </a:lnTo>
              <a:lnTo>
                <a:pt x="4572000" y="15075"/>
              </a:lnTo>
              <a:lnTo>
                <a:pt x="4699000" y="59852"/>
              </a:lnTo>
              <a:lnTo>
                <a:pt x="4826000" y="133002"/>
              </a:lnTo>
              <a:lnTo>
                <a:pt x="4953000" y="232389"/>
              </a:lnTo>
              <a:lnTo>
                <a:pt x="5080000" y="355165"/>
              </a:lnTo>
              <a:lnTo>
                <a:pt x="5207000" y="497912"/>
              </a:lnTo>
              <a:lnTo>
                <a:pt x="5334000" y="656797"/>
              </a:lnTo>
              <a:lnTo>
                <a:pt x="5461000" y="827742"/>
              </a:lnTo>
              <a:lnTo>
                <a:pt x="5588000" y="1006596"/>
              </a:lnTo>
              <a:lnTo>
                <a:pt x="5715000" y="1189300"/>
              </a:lnTo>
              <a:lnTo>
                <a:pt x="5715000" y="3276600"/>
              </a:lnTo>
              <a:close/>
            </a:path>
          </a:pathLst>
        </a:custGeom>
        <a:solidFill>
          <a:schemeClr val="bg1">
            <a:lumMod val="95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twoCellAnchor editAs="absolute">
    <xdr:from>
      <xdr:col>0</xdr:col>
      <xdr:colOff>190500</xdr:colOff>
      <xdr:row>35</xdr:row>
      <xdr:rowOff>106245</xdr:rowOff>
    </xdr:from>
    <xdr:to>
      <xdr:col>6</xdr:col>
      <xdr:colOff>99061</xdr:colOff>
      <xdr:row>53</xdr:row>
      <xdr:rowOff>10161</xdr:rowOff>
    </xdr:to>
    <xdr:sp macro="" textlink="">
      <xdr:nvSpPr>
        <xdr:cNvPr id="28" name="Forma libre: forma 27">
          <a:extLst>
            <a:ext uri="{FF2B5EF4-FFF2-40B4-BE49-F238E27FC236}">
              <a16:creationId xmlns:a16="http://schemas.microsoft.com/office/drawing/2014/main" id="{46315488-53B8-4850-9F5B-7446DFC47742}"/>
            </a:ext>
          </a:extLst>
        </xdr:cNvPr>
        <xdr:cNvSpPr/>
      </xdr:nvSpPr>
      <xdr:spPr>
        <a:xfrm>
          <a:off x="190500" y="5996505"/>
          <a:ext cx="3810001" cy="2921436"/>
        </a:xfrm>
        <a:custGeom>
          <a:avLst/>
          <a:gdLst/>
          <a:ahLst/>
          <a:cxnLst/>
          <a:rect l="0" t="0" r="0" b="0"/>
          <a:pathLst>
            <a:path w="3810001" h="2921436">
              <a:moveTo>
                <a:pt x="3810000" y="2667435"/>
              </a:moveTo>
              <a:lnTo>
                <a:pt x="0" y="2667435"/>
              </a:lnTo>
              <a:lnTo>
                <a:pt x="0" y="2660823"/>
              </a:lnTo>
              <a:lnTo>
                <a:pt x="127000" y="2658099"/>
              </a:lnTo>
              <a:lnTo>
                <a:pt x="254000" y="2654384"/>
              </a:lnTo>
              <a:lnTo>
                <a:pt x="381000" y="2649372"/>
              </a:lnTo>
              <a:lnTo>
                <a:pt x="508000" y="2642684"/>
              </a:lnTo>
              <a:lnTo>
                <a:pt x="635000" y="2633857"/>
              </a:lnTo>
              <a:lnTo>
                <a:pt x="762000" y="2622336"/>
              </a:lnTo>
              <a:lnTo>
                <a:pt x="889000" y="2607464"/>
              </a:lnTo>
              <a:lnTo>
                <a:pt x="1016000" y="2588480"/>
              </a:lnTo>
              <a:lnTo>
                <a:pt x="1143000" y="2564523"/>
              </a:lnTo>
              <a:lnTo>
                <a:pt x="1270000" y="2534631"/>
              </a:lnTo>
              <a:lnTo>
                <a:pt x="1397000" y="2497762"/>
              </a:lnTo>
              <a:lnTo>
                <a:pt x="1524000" y="2452814"/>
              </a:lnTo>
              <a:lnTo>
                <a:pt x="1651000" y="2398661"/>
              </a:lnTo>
              <a:lnTo>
                <a:pt x="1778000" y="2334192"/>
              </a:lnTo>
              <a:lnTo>
                <a:pt x="1905000" y="2258370"/>
              </a:lnTo>
              <a:lnTo>
                <a:pt x="2032000" y="2170294"/>
              </a:lnTo>
              <a:lnTo>
                <a:pt x="2159000" y="2069266"/>
              </a:lnTo>
              <a:lnTo>
                <a:pt x="2286000" y="1954869"/>
              </a:lnTo>
              <a:lnTo>
                <a:pt x="2413000" y="1827039"/>
              </a:lnTo>
              <a:lnTo>
                <a:pt x="2540000" y="1686141"/>
              </a:lnTo>
              <a:lnTo>
                <a:pt x="2667000" y="1533020"/>
              </a:lnTo>
              <a:lnTo>
                <a:pt x="2794000" y="1369055"/>
              </a:lnTo>
              <a:lnTo>
                <a:pt x="2921000" y="1196178"/>
              </a:lnTo>
              <a:lnTo>
                <a:pt x="3048000" y="1016871"/>
              </a:lnTo>
              <a:lnTo>
                <a:pt x="3175000" y="834135"/>
              </a:lnTo>
              <a:lnTo>
                <a:pt x="3302000" y="651431"/>
              </a:lnTo>
              <a:lnTo>
                <a:pt x="3429000" y="472577"/>
              </a:lnTo>
              <a:lnTo>
                <a:pt x="3556000" y="301632"/>
              </a:lnTo>
              <a:lnTo>
                <a:pt x="3683000" y="142747"/>
              </a:lnTo>
              <a:lnTo>
                <a:pt x="3810000" y="0"/>
              </a:lnTo>
              <a:lnTo>
                <a:pt x="3810000" y="2921435"/>
              </a:lnTo>
              <a:close/>
            </a:path>
          </a:pathLst>
        </a:custGeom>
        <a:solidFill>
          <a:schemeClr val="accent1">
            <a:lumMod val="75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twoCellAnchor editAs="absolute">
    <xdr:from>
      <xdr:col>5</xdr:col>
      <xdr:colOff>393997</xdr:colOff>
      <xdr:row>53</xdr:row>
      <xdr:rowOff>10160</xdr:rowOff>
    </xdr:from>
    <xdr:to>
      <xdr:col>6</xdr:col>
      <xdr:colOff>337522</xdr:colOff>
      <xdr:row>54</xdr:row>
      <xdr:rowOff>82329</xdr:rowOff>
    </xdr:to>
    <xdr:sp macro="" textlink="">
      <xdr:nvSpPr>
        <xdr:cNvPr id="29" name="CuadroTexto 28">
          <a:extLst>
            <a:ext uri="{FF2B5EF4-FFF2-40B4-BE49-F238E27FC236}">
              <a16:creationId xmlns:a16="http://schemas.microsoft.com/office/drawing/2014/main" id="{6A9D6228-4493-42A7-AD07-AE5AF049D917}"/>
            </a:ext>
          </a:extLst>
        </xdr:cNvPr>
        <xdr:cNvSpPr txBox="1"/>
      </xdr:nvSpPr>
      <xdr:spPr>
        <a:xfrm>
          <a:off x="3762037" y="8917940"/>
          <a:ext cx="476925" cy="23980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0"/>
          </a:srgbClr>
        </a:solidFill>
        <a:ln w="9525" cap="flat" cmpd="sng" algn="ctr">
          <a:solidFill>
            <a:schemeClr val="lt1">
              <a:shade val="50000"/>
            </a:schemeClr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pPr algn="ctr"/>
          <a:r>
            <a:rPr lang="es-BO" sz="1000" b="0" i="0">
              <a:latin typeface="Arial" panose="020B0604020202020204" pitchFamily="34" charset="0"/>
            </a:rPr>
            <a:t>-0.50</a:t>
          </a:r>
        </a:p>
      </xdr:txBody>
    </xdr:sp>
    <xdr:clientData/>
  </xdr:twoCellAnchor>
  <xdr:twoCellAnchor editAs="absolute">
    <xdr:from>
      <xdr:col>8</xdr:col>
      <xdr:colOff>720150</xdr:colOff>
      <xdr:row>53</xdr:row>
      <xdr:rowOff>10160</xdr:rowOff>
    </xdr:from>
    <xdr:to>
      <xdr:col>9</xdr:col>
      <xdr:colOff>361891</xdr:colOff>
      <xdr:row>54</xdr:row>
      <xdr:rowOff>82329</xdr:rowOff>
    </xdr:to>
    <xdr:sp macro="" textlink="">
      <xdr:nvSpPr>
        <xdr:cNvPr id="31" name="CuadroTexto 30">
          <a:extLst>
            <a:ext uri="{FF2B5EF4-FFF2-40B4-BE49-F238E27FC236}">
              <a16:creationId xmlns:a16="http://schemas.microsoft.com/office/drawing/2014/main" id="{9E41C971-C558-4A01-8FC7-92A7B4DD42EB}"/>
            </a:ext>
          </a:extLst>
        </xdr:cNvPr>
        <xdr:cNvSpPr txBox="1"/>
      </xdr:nvSpPr>
      <xdr:spPr>
        <a:xfrm>
          <a:off x="5688390" y="8917940"/>
          <a:ext cx="434221" cy="23980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0"/>
          </a:srgbClr>
        </a:solidFill>
        <a:ln w="9525" cap="flat" cmpd="sng" algn="ctr">
          <a:solidFill>
            <a:schemeClr val="lt1">
              <a:shade val="50000"/>
            </a:schemeClr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pPr algn="ctr"/>
          <a:r>
            <a:rPr lang="es-BO" sz="1000" b="0" i="0">
              <a:latin typeface="Arial" panose="020B0604020202020204" pitchFamily="34" charset="0"/>
            </a:rPr>
            <a:t>1.00</a:t>
          </a:r>
        </a:p>
      </xdr:txBody>
    </xdr:sp>
    <xdr:clientData/>
  </xdr:twoCellAnchor>
  <xdr:twoCellAnchor editAs="absolute">
    <xdr:from>
      <xdr:col>12</xdr:col>
      <xdr:colOff>179355</xdr:colOff>
      <xdr:row>83</xdr:row>
      <xdr:rowOff>129540</xdr:rowOff>
    </xdr:from>
    <xdr:to>
      <xdr:col>12</xdr:col>
      <xdr:colOff>435323</xdr:colOff>
      <xdr:row>85</xdr:row>
      <xdr:rowOff>34069</xdr:rowOff>
    </xdr:to>
    <xdr:sp macro="" textlink="">
      <xdr:nvSpPr>
        <xdr:cNvPr id="32" name="CuadroTexto 31">
          <a:extLst>
            <a:ext uri="{FF2B5EF4-FFF2-40B4-BE49-F238E27FC236}">
              <a16:creationId xmlns:a16="http://schemas.microsoft.com/office/drawing/2014/main" id="{B2B93A38-C1B6-411C-99AD-950A9CB7AA82}"/>
            </a:ext>
          </a:extLst>
        </xdr:cNvPr>
        <xdr:cNvSpPr txBox="1"/>
      </xdr:nvSpPr>
      <xdr:spPr>
        <a:xfrm>
          <a:off x="8317515" y="14089380"/>
          <a:ext cx="255968" cy="23980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chemeClr val="lt1">
                  <a:shade val="50000"/>
                </a:schemeClr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pPr algn="ctr"/>
          <a:r>
            <a:rPr lang="es-BO" sz="1000" b="0" i="0">
              <a:latin typeface="Arial" panose="020B0604020202020204" pitchFamily="34" charset="0"/>
            </a:rPr>
            <a:t>3</a:t>
          </a:r>
        </a:p>
      </xdr:txBody>
    </xdr:sp>
    <xdr:clientData/>
  </xdr:twoCellAnchor>
  <xdr:twoCellAnchor editAs="absolute">
    <xdr:from>
      <xdr:col>10</xdr:col>
      <xdr:colOff>494315</xdr:colOff>
      <xdr:row>83</xdr:row>
      <xdr:rowOff>129540</xdr:rowOff>
    </xdr:from>
    <xdr:to>
      <xdr:col>10</xdr:col>
      <xdr:colOff>750283</xdr:colOff>
      <xdr:row>85</xdr:row>
      <xdr:rowOff>34069</xdr:rowOff>
    </xdr:to>
    <xdr:sp macro="" textlink="">
      <xdr:nvSpPr>
        <xdr:cNvPr id="33" name="CuadroTexto 32">
          <a:extLst>
            <a:ext uri="{FF2B5EF4-FFF2-40B4-BE49-F238E27FC236}">
              <a16:creationId xmlns:a16="http://schemas.microsoft.com/office/drawing/2014/main" id="{3E6C9C9C-97D7-4149-999D-873C0DDEBA83}"/>
            </a:ext>
          </a:extLst>
        </xdr:cNvPr>
        <xdr:cNvSpPr txBox="1"/>
      </xdr:nvSpPr>
      <xdr:spPr>
        <a:xfrm>
          <a:off x="7047515" y="14089380"/>
          <a:ext cx="255968" cy="23980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chemeClr val="lt1">
                  <a:shade val="50000"/>
                </a:schemeClr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pPr algn="ctr"/>
          <a:r>
            <a:rPr lang="es-BO" sz="1000" b="0" i="0">
              <a:latin typeface="Arial" panose="020B0604020202020204" pitchFamily="34" charset="0"/>
            </a:rPr>
            <a:t>2</a:t>
          </a:r>
        </a:p>
      </xdr:txBody>
    </xdr:sp>
    <xdr:clientData/>
  </xdr:twoCellAnchor>
  <xdr:twoCellAnchor editAs="absolute">
    <xdr:from>
      <xdr:col>9</xdr:col>
      <xdr:colOff>16795</xdr:colOff>
      <xdr:row>83</xdr:row>
      <xdr:rowOff>129540</xdr:rowOff>
    </xdr:from>
    <xdr:to>
      <xdr:col>9</xdr:col>
      <xdr:colOff>272763</xdr:colOff>
      <xdr:row>85</xdr:row>
      <xdr:rowOff>34069</xdr:rowOff>
    </xdr:to>
    <xdr:sp macro="" textlink="">
      <xdr:nvSpPr>
        <xdr:cNvPr id="34" name="CuadroTexto 33">
          <a:extLst>
            <a:ext uri="{FF2B5EF4-FFF2-40B4-BE49-F238E27FC236}">
              <a16:creationId xmlns:a16="http://schemas.microsoft.com/office/drawing/2014/main" id="{137EA915-92DE-47FA-9E1D-DB5755F415D9}"/>
            </a:ext>
          </a:extLst>
        </xdr:cNvPr>
        <xdr:cNvSpPr txBox="1"/>
      </xdr:nvSpPr>
      <xdr:spPr>
        <a:xfrm>
          <a:off x="5777515" y="14089380"/>
          <a:ext cx="255968" cy="23980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chemeClr val="lt1">
                  <a:shade val="50000"/>
                </a:schemeClr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pPr algn="ctr"/>
          <a:r>
            <a:rPr lang="es-BO" sz="1000" b="0" i="0">
              <a:latin typeface="Arial" panose="020B0604020202020204" pitchFamily="34" charset="0"/>
            </a:rPr>
            <a:t>1</a:t>
          </a:r>
        </a:p>
      </xdr:txBody>
    </xdr:sp>
    <xdr:clientData/>
  </xdr:twoCellAnchor>
  <xdr:twoCellAnchor editAs="absolute">
    <xdr:from>
      <xdr:col>7</xdr:col>
      <xdr:colOff>72675</xdr:colOff>
      <xdr:row>83</xdr:row>
      <xdr:rowOff>129540</xdr:rowOff>
    </xdr:from>
    <xdr:to>
      <xdr:col>7</xdr:col>
      <xdr:colOff>328643</xdr:colOff>
      <xdr:row>85</xdr:row>
      <xdr:rowOff>34069</xdr:rowOff>
    </xdr:to>
    <xdr:sp macro="" textlink="">
      <xdr:nvSpPr>
        <xdr:cNvPr id="35" name="CuadroTexto 34">
          <a:extLst>
            <a:ext uri="{FF2B5EF4-FFF2-40B4-BE49-F238E27FC236}">
              <a16:creationId xmlns:a16="http://schemas.microsoft.com/office/drawing/2014/main" id="{6FCE49A5-EC61-4ACA-9DF5-DD7B404369FA}"/>
            </a:ext>
          </a:extLst>
        </xdr:cNvPr>
        <xdr:cNvSpPr txBox="1"/>
      </xdr:nvSpPr>
      <xdr:spPr>
        <a:xfrm>
          <a:off x="4507515" y="14089380"/>
          <a:ext cx="255968" cy="23980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chemeClr val="lt1">
                  <a:shade val="50000"/>
                </a:schemeClr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pPr algn="ctr"/>
          <a:r>
            <a:rPr lang="es-BO" sz="1000" b="0" i="0">
              <a:latin typeface="Arial" panose="020B0604020202020204" pitchFamily="34" charset="0"/>
            </a:rPr>
            <a:t>0</a:t>
          </a:r>
        </a:p>
      </xdr:txBody>
    </xdr:sp>
    <xdr:clientData/>
  </xdr:twoCellAnchor>
  <xdr:twoCellAnchor editAs="absolute">
    <xdr:from>
      <xdr:col>4</xdr:col>
      <xdr:colOff>381523</xdr:colOff>
      <xdr:row>83</xdr:row>
      <xdr:rowOff>129540</xdr:rowOff>
    </xdr:from>
    <xdr:to>
      <xdr:col>5</xdr:col>
      <xdr:colOff>146795</xdr:colOff>
      <xdr:row>85</xdr:row>
      <xdr:rowOff>34069</xdr:rowOff>
    </xdr:to>
    <xdr:sp macro="" textlink="">
      <xdr:nvSpPr>
        <xdr:cNvPr id="36" name="CuadroTexto 35">
          <a:extLst>
            <a:ext uri="{FF2B5EF4-FFF2-40B4-BE49-F238E27FC236}">
              <a16:creationId xmlns:a16="http://schemas.microsoft.com/office/drawing/2014/main" id="{B39A74F3-FC8A-4A39-89D0-2447D4D68582}"/>
            </a:ext>
          </a:extLst>
        </xdr:cNvPr>
        <xdr:cNvSpPr txBox="1"/>
      </xdr:nvSpPr>
      <xdr:spPr>
        <a:xfrm>
          <a:off x="3216163" y="14089380"/>
          <a:ext cx="298672" cy="23980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chemeClr val="lt1">
                  <a:shade val="50000"/>
                </a:schemeClr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pPr algn="ctr"/>
          <a:r>
            <a:rPr lang="es-BO" sz="1000" b="0" i="0">
              <a:latin typeface="Arial" panose="020B0604020202020204" pitchFamily="34" charset="0"/>
            </a:rPr>
            <a:t>-1</a:t>
          </a:r>
        </a:p>
      </xdr:txBody>
    </xdr:sp>
    <xdr:clientData/>
  </xdr:twoCellAnchor>
  <xdr:twoCellAnchor editAs="absolute">
    <xdr:from>
      <xdr:col>2</xdr:col>
      <xdr:colOff>361203</xdr:colOff>
      <xdr:row>83</xdr:row>
      <xdr:rowOff>129540</xdr:rowOff>
    </xdr:from>
    <xdr:to>
      <xdr:col>3</xdr:col>
      <xdr:colOff>50275</xdr:colOff>
      <xdr:row>85</xdr:row>
      <xdr:rowOff>34069</xdr:rowOff>
    </xdr:to>
    <xdr:sp macro="" textlink="">
      <xdr:nvSpPr>
        <xdr:cNvPr id="37" name="CuadroTexto 36">
          <a:extLst>
            <a:ext uri="{FF2B5EF4-FFF2-40B4-BE49-F238E27FC236}">
              <a16:creationId xmlns:a16="http://schemas.microsoft.com/office/drawing/2014/main" id="{7AD10B60-48A7-4A23-BC76-6432AC35B6FB}"/>
            </a:ext>
          </a:extLst>
        </xdr:cNvPr>
        <xdr:cNvSpPr txBox="1"/>
      </xdr:nvSpPr>
      <xdr:spPr>
        <a:xfrm>
          <a:off x="1946163" y="14089380"/>
          <a:ext cx="298672" cy="23980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chemeClr val="lt1">
                  <a:shade val="50000"/>
                </a:schemeClr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pPr algn="ctr"/>
          <a:r>
            <a:rPr lang="es-BO" sz="1000" b="0" i="0">
              <a:latin typeface="Arial" panose="020B0604020202020204" pitchFamily="34" charset="0"/>
            </a:rPr>
            <a:t>-2</a:t>
          </a:r>
        </a:p>
      </xdr:txBody>
    </xdr:sp>
    <xdr:clientData/>
  </xdr:twoCellAnchor>
  <xdr:twoCellAnchor editAs="absolute">
    <xdr:from>
      <xdr:col>0</xdr:col>
      <xdr:colOff>676163</xdr:colOff>
      <xdr:row>83</xdr:row>
      <xdr:rowOff>129540</xdr:rowOff>
    </xdr:from>
    <xdr:to>
      <xdr:col>1</xdr:col>
      <xdr:colOff>182355</xdr:colOff>
      <xdr:row>85</xdr:row>
      <xdr:rowOff>34069</xdr:rowOff>
    </xdr:to>
    <xdr:sp macro="" textlink="">
      <xdr:nvSpPr>
        <xdr:cNvPr id="38" name="CuadroTexto 37">
          <a:extLst>
            <a:ext uri="{FF2B5EF4-FFF2-40B4-BE49-F238E27FC236}">
              <a16:creationId xmlns:a16="http://schemas.microsoft.com/office/drawing/2014/main" id="{B14B76D7-7D44-4FC7-84A5-A0A5FE5E7BD8}"/>
            </a:ext>
          </a:extLst>
        </xdr:cNvPr>
        <xdr:cNvSpPr txBox="1"/>
      </xdr:nvSpPr>
      <xdr:spPr>
        <a:xfrm>
          <a:off x="676163" y="14089380"/>
          <a:ext cx="298672" cy="23980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chemeClr val="lt1">
                  <a:shade val="50000"/>
                </a:schemeClr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pPr algn="ctr"/>
          <a:r>
            <a:rPr lang="es-BO" sz="1000" b="0" i="0">
              <a:latin typeface="Arial" panose="020B0604020202020204" pitchFamily="34" charset="0"/>
            </a:rPr>
            <a:t>-3</a:t>
          </a:r>
        </a:p>
      </xdr:txBody>
    </xdr:sp>
    <xdr:clientData/>
  </xdr:twoCellAnchor>
  <xdr:twoCellAnchor editAs="absolute">
    <xdr:from>
      <xdr:col>0</xdr:col>
      <xdr:colOff>30977</xdr:colOff>
      <xdr:row>64</xdr:row>
      <xdr:rowOff>63500</xdr:rowOff>
    </xdr:from>
    <xdr:to>
      <xdr:col>0</xdr:col>
      <xdr:colOff>400822</xdr:colOff>
      <xdr:row>65</xdr:row>
      <xdr:rowOff>135669</xdr:rowOff>
    </xdr:to>
    <xdr:sp macro="" textlink="">
      <xdr:nvSpPr>
        <xdr:cNvPr id="39" name="CuadroTexto 38">
          <a:extLst>
            <a:ext uri="{FF2B5EF4-FFF2-40B4-BE49-F238E27FC236}">
              <a16:creationId xmlns:a16="http://schemas.microsoft.com/office/drawing/2014/main" id="{D6F1EDCF-943B-40E5-8C4A-4E2AFE463969}"/>
            </a:ext>
          </a:extLst>
        </xdr:cNvPr>
        <xdr:cNvSpPr txBox="1"/>
      </xdr:nvSpPr>
      <xdr:spPr>
        <a:xfrm>
          <a:off x="30977" y="10838180"/>
          <a:ext cx="369845" cy="23980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chemeClr val="lt1">
                  <a:shade val="50000"/>
                </a:schemeClr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pPr algn="ctr"/>
          <a:r>
            <a:rPr lang="es-BO" sz="1000" b="0" i="0">
              <a:latin typeface="Arial" panose="020B0604020202020204" pitchFamily="34" charset="0"/>
            </a:rPr>
            <a:t>f(z)</a:t>
          </a:r>
        </a:p>
      </xdr:txBody>
    </xdr:sp>
    <xdr:clientData/>
  </xdr:twoCellAnchor>
  <xdr:twoCellAnchor editAs="absolute">
    <xdr:from>
      <xdr:col>0</xdr:col>
      <xdr:colOff>91507</xdr:colOff>
      <xdr:row>83</xdr:row>
      <xdr:rowOff>129540</xdr:rowOff>
    </xdr:from>
    <xdr:to>
      <xdr:col>0</xdr:col>
      <xdr:colOff>340293</xdr:colOff>
      <xdr:row>85</xdr:row>
      <xdr:rowOff>34069</xdr:rowOff>
    </xdr:to>
    <xdr:sp macro="" textlink="">
      <xdr:nvSpPr>
        <xdr:cNvPr id="40" name="CuadroTexto 39">
          <a:extLst>
            <a:ext uri="{FF2B5EF4-FFF2-40B4-BE49-F238E27FC236}">
              <a16:creationId xmlns:a16="http://schemas.microsoft.com/office/drawing/2014/main" id="{6BFE9240-A388-4723-9615-3721ED46AB5D}"/>
            </a:ext>
          </a:extLst>
        </xdr:cNvPr>
        <xdr:cNvSpPr txBox="1"/>
      </xdr:nvSpPr>
      <xdr:spPr>
        <a:xfrm>
          <a:off x="91507" y="14089380"/>
          <a:ext cx="248786" cy="23980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chemeClr val="lt1">
                  <a:shade val="50000"/>
                </a:schemeClr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pPr algn="ctr"/>
          <a:r>
            <a:rPr lang="es-BO" sz="1000" b="0" i="0">
              <a:latin typeface="Arial" panose="020B0604020202020204" pitchFamily="34" charset="0"/>
            </a:rPr>
            <a:t>z</a:t>
          </a:r>
        </a:p>
      </xdr:txBody>
    </xdr:sp>
    <xdr:clientData/>
  </xdr:twoCellAnchor>
  <xdr:twoCellAnchor editAs="absolute">
    <xdr:from>
      <xdr:col>0</xdr:col>
      <xdr:colOff>190500</xdr:colOff>
      <xdr:row>65</xdr:row>
      <xdr:rowOff>86360</xdr:rowOff>
    </xdr:from>
    <xdr:to>
      <xdr:col>13</xdr:col>
      <xdr:colOff>149861</xdr:colOff>
      <xdr:row>83</xdr:row>
      <xdr:rowOff>142241</xdr:rowOff>
    </xdr:to>
    <xdr:sp macro="" textlink="">
      <xdr:nvSpPr>
        <xdr:cNvPr id="41" name="Forma libre: forma 40">
          <a:extLst>
            <a:ext uri="{FF2B5EF4-FFF2-40B4-BE49-F238E27FC236}">
              <a16:creationId xmlns:a16="http://schemas.microsoft.com/office/drawing/2014/main" id="{5906330E-1F30-49A2-8964-7AC2485E5B7A}"/>
            </a:ext>
          </a:extLst>
        </xdr:cNvPr>
        <xdr:cNvSpPr/>
      </xdr:nvSpPr>
      <xdr:spPr>
        <a:xfrm>
          <a:off x="190500" y="11028680"/>
          <a:ext cx="8890001" cy="3073401"/>
        </a:xfrm>
        <a:custGeom>
          <a:avLst/>
          <a:gdLst/>
          <a:ahLst/>
          <a:cxnLst/>
          <a:rect l="0" t="0" r="0" b="0"/>
          <a:pathLst>
            <a:path w="8890001" h="3073401">
              <a:moveTo>
                <a:pt x="8890000" y="3022600"/>
              </a:moveTo>
              <a:lnTo>
                <a:pt x="8255000" y="3022600"/>
              </a:lnTo>
              <a:lnTo>
                <a:pt x="8255000" y="3073400"/>
              </a:lnTo>
              <a:lnTo>
                <a:pt x="8255000" y="3022600"/>
              </a:lnTo>
              <a:lnTo>
                <a:pt x="6985000" y="3022600"/>
              </a:lnTo>
              <a:lnTo>
                <a:pt x="6985000" y="3073400"/>
              </a:lnTo>
              <a:lnTo>
                <a:pt x="6985000" y="3022600"/>
              </a:lnTo>
              <a:lnTo>
                <a:pt x="5715000" y="3022600"/>
              </a:lnTo>
              <a:lnTo>
                <a:pt x="5715000" y="3073400"/>
              </a:lnTo>
              <a:lnTo>
                <a:pt x="5715000" y="3022600"/>
              </a:lnTo>
              <a:lnTo>
                <a:pt x="4445000" y="3022600"/>
              </a:lnTo>
              <a:lnTo>
                <a:pt x="4445000" y="3073400"/>
              </a:lnTo>
              <a:lnTo>
                <a:pt x="4445000" y="3022600"/>
              </a:lnTo>
              <a:lnTo>
                <a:pt x="3175000" y="3022600"/>
              </a:lnTo>
              <a:lnTo>
                <a:pt x="3175000" y="3073400"/>
              </a:lnTo>
              <a:lnTo>
                <a:pt x="3175000" y="3022600"/>
              </a:lnTo>
              <a:lnTo>
                <a:pt x="1905000" y="3022600"/>
              </a:lnTo>
              <a:lnTo>
                <a:pt x="1905000" y="3073400"/>
              </a:lnTo>
              <a:lnTo>
                <a:pt x="1905000" y="3022600"/>
              </a:lnTo>
              <a:lnTo>
                <a:pt x="635000" y="3022600"/>
              </a:lnTo>
              <a:lnTo>
                <a:pt x="635000" y="3073400"/>
              </a:lnTo>
              <a:lnTo>
                <a:pt x="635000" y="3022600"/>
              </a:lnTo>
              <a:lnTo>
                <a:pt x="0" y="3022600"/>
              </a:lnTo>
              <a:lnTo>
                <a:pt x="0" y="3015988"/>
              </a:lnTo>
              <a:lnTo>
                <a:pt x="127000" y="3013264"/>
              </a:lnTo>
              <a:lnTo>
                <a:pt x="254000" y="3009548"/>
              </a:lnTo>
              <a:lnTo>
                <a:pt x="381000" y="3004536"/>
              </a:lnTo>
              <a:lnTo>
                <a:pt x="508000" y="2997848"/>
              </a:lnTo>
              <a:lnTo>
                <a:pt x="635000" y="2989023"/>
              </a:lnTo>
              <a:lnTo>
                <a:pt x="762000" y="2977501"/>
              </a:lnTo>
              <a:lnTo>
                <a:pt x="889000" y="2962629"/>
              </a:lnTo>
              <a:lnTo>
                <a:pt x="1016000" y="2943645"/>
              </a:lnTo>
              <a:lnTo>
                <a:pt x="1143000" y="2919689"/>
              </a:lnTo>
              <a:lnTo>
                <a:pt x="1270000" y="2889796"/>
              </a:lnTo>
              <a:lnTo>
                <a:pt x="1397000" y="2852927"/>
              </a:lnTo>
              <a:lnTo>
                <a:pt x="1524000" y="2807979"/>
              </a:lnTo>
              <a:lnTo>
                <a:pt x="1651000" y="2753826"/>
              </a:lnTo>
              <a:lnTo>
                <a:pt x="1778000" y="2689357"/>
              </a:lnTo>
              <a:lnTo>
                <a:pt x="1905000" y="2613535"/>
              </a:lnTo>
              <a:lnTo>
                <a:pt x="2032000" y="2525460"/>
              </a:lnTo>
              <a:lnTo>
                <a:pt x="2159000" y="2424431"/>
              </a:lnTo>
              <a:lnTo>
                <a:pt x="2286000" y="2310035"/>
              </a:lnTo>
              <a:lnTo>
                <a:pt x="2413000" y="2182205"/>
              </a:lnTo>
              <a:lnTo>
                <a:pt x="2540000" y="2041305"/>
              </a:lnTo>
              <a:lnTo>
                <a:pt x="2667000" y="1888185"/>
              </a:lnTo>
              <a:lnTo>
                <a:pt x="2794000" y="1724220"/>
              </a:lnTo>
              <a:lnTo>
                <a:pt x="2921000" y="1551343"/>
              </a:lnTo>
              <a:lnTo>
                <a:pt x="3048000" y="1372035"/>
              </a:lnTo>
              <a:lnTo>
                <a:pt x="3175000" y="1189301"/>
              </a:lnTo>
              <a:lnTo>
                <a:pt x="3302000" y="1006596"/>
              </a:lnTo>
              <a:lnTo>
                <a:pt x="3429000" y="827742"/>
              </a:lnTo>
              <a:lnTo>
                <a:pt x="3556000" y="656797"/>
              </a:lnTo>
              <a:lnTo>
                <a:pt x="3683000" y="497913"/>
              </a:lnTo>
              <a:lnTo>
                <a:pt x="3810000" y="355165"/>
              </a:lnTo>
              <a:lnTo>
                <a:pt x="3937000" y="232388"/>
              </a:lnTo>
              <a:lnTo>
                <a:pt x="4064000" y="133002"/>
              </a:lnTo>
              <a:lnTo>
                <a:pt x="4191000" y="59852"/>
              </a:lnTo>
              <a:lnTo>
                <a:pt x="4318000" y="15075"/>
              </a:lnTo>
              <a:lnTo>
                <a:pt x="4445000" y="0"/>
              </a:lnTo>
              <a:lnTo>
                <a:pt x="4572000" y="15075"/>
              </a:lnTo>
              <a:lnTo>
                <a:pt x="4699000" y="59852"/>
              </a:lnTo>
              <a:lnTo>
                <a:pt x="4826000" y="133002"/>
              </a:lnTo>
              <a:lnTo>
                <a:pt x="4953000" y="232388"/>
              </a:lnTo>
              <a:lnTo>
                <a:pt x="5080000" y="355165"/>
              </a:lnTo>
              <a:lnTo>
                <a:pt x="5207000" y="497913"/>
              </a:lnTo>
              <a:lnTo>
                <a:pt x="5334000" y="656797"/>
              </a:lnTo>
              <a:lnTo>
                <a:pt x="5461000" y="827742"/>
              </a:lnTo>
              <a:lnTo>
                <a:pt x="5588000" y="1006596"/>
              </a:lnTo>
              <a:lnTo>
                <a:pt x="5715000" y="1189301"/>
              </a:lnTo>
              <a:lnTo>
                <a:pt x="5842000" y="1372035"/>
              </a:lnTo>
              <a:lnTo>
                <a:pt x="5969000" y="1551343"/>
              </a:lnTo>
              <a:lnTo>
                <a:pt x="6096000" y="1724220"/>
              </a:lnTo>
              <a:lnTo>
                <a:pt x="6223000" y="1888185"/>
              </a:lnTo>
              <a:lnTo>
                <a:pt x="6350000" y="2041305"/>
              </a:lnTo>
              <a:lnTo>
                <a:pt x="6477000" y="2182205"/>
              </a:lnTo>
              <a:lnTo>
                <a:pt x="6604000" y="2310035"/>
              </a:lnTo>
              <a:lnTo>
                <a:pt x="6731000" y="2424431"/>
              </a:lnTo>
              <a:lnTo>
                <a:pt x="6858000" y="2525460"/>
              </a:lnTo>
              <a:lnTo>
                <a:pt x="6985000" y="2613535"/>
              </a:lnTo>
              <a:lnTo>
                <a:pt x="7112000" y="2689357"/>
              </a:lnTo>
              <a:lnTo>
                <a:pt x="7239000" y="2753826"/>
              </a:lnTo>
              <a:lnTo>
                <a:pt x="7366000" y="2807979"/>
              </a:lnTo>
              <a:lnTo>
                <a:pt x="7493000" y="2852927"/>
              </a:lnTo>
              <a:lnTo>
                <a:pt x="7620000" y="2889796"/>
              </a:lnTo>
              <a:lnTo>
                <a:pt x="7747000" y="2919689"/>
              </a:lnTo>
              <a:lnTo>
                <a:pt x="7874000" y="2943645"/>
              </a:lnTo>
              <a:lnTo>
                <a:pt x="8001000" y="2962629"/>
              </a:lnTo>
              <a:lnTo>
                <a:pt x="8128000" y="2977501"/>
              </a:lnTo>
              <a:lnTo>
                <a:pt x="8255000" y="2989023"/>
              </a:lnTo>
              <a:lnTo>
                <a:pt x="8382000" y="2997848"/>
              </a:lnTo>
              <a:lnTo>
                <a:pt x="8509000" y="3004536"/>
              </a:lnTo>
              <a:lnTo>
                <a:pt x="8636000" y="3009548"/>
              </a:lnTo>
              <a:lnTo>
                <a:pt x="8763000" y="3013264"/>
              </a:lnTo>
              <a:lnTo>
                <a:pt x="8890000" y="3015988"/>
              </a:lnTo>
            </a:path>
          </a:pathLst>
        </a:custGeom>
        <a:solidFill>
          <a:srgbClr val="F8F8F8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twoCellAnchor editAs="absolute">
    <xdr:from>
      <xdr:col>0</xdr:col>
      <xdr:colOff>190500</xdr:colOff>
      <xdr:row>65</xdr:row>
      <xdr:rowOff>86360</xdr:rowOff>
    </xdr:from>
    <xdr:to>
      <xdr:col>0</xdr:col>
      <xdr:colOff>190500</xdr:colOff>
      <xdr:row>83</xdr:row>
      <xdr:rowOff>91440</xdr:rowOff>
    </xdr:to>
    <xdr:cxnSp macro="">
      <xdr:nvCxnSpPr>
        <xdr:cNvPr id="42" name="Conector recto 41">
          <a:extLst>
            <a:ext uri="{FF2B5EF4-FFF2-40B4-BE49-F238E27FC236}">
              <a16:creationId xmlns:a16="http://schemas.microsoft.com/office/drawing/2014/main" id="{2F3A48FF-1930-4E6A-B272-CAB4E671ABFA}"/>
            </a:ext>
          </a:extLst>
        </xdr:cNvPr>
        <xdr:cNvCxnSpPr/>
      </xdr:nvCxnSpPr>
      <xdr:spPr>
        <a:xfrm flipV="1">
          <a:off x="190500" y="11028680"/>
          <a:ext cx="0" cy="3022600"/>
        </a:xfrm>
        <a:prstGeom prst="line">
          <a:avLst/>
        </a:prstGeom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190500</xdr:colOff>
      <xdr:row>65</xdr:row>
      <xdr:rowOff>86360</xdr:rowOff>
    </xdr:from>
    <xdr:to>
      <xdr:col>8</xdr:col>
      <xdr:colOff>302261</xdr:colOff>
      <xdr:row>85</xdr:row>
      <xdr:rowOff>10161</xdr:rowOff>
    </xdr:to>
    <xdr:sp macro="" textlink="">
      <xdr:nvSpPr>
        <xdr:cNvPr id="45" name="Forma libre: forma 44">
          <a:extLst>
            <a:ext uri="{FF2B5EF4-FFF2-40B4-BE49-F238E27FC236}">
              <a16:creationId xmlns:a16="http://schemas.microsoft.com/office/drawing/2014/main" id="{B2B13FA0-01A2-47A2-AA77-3B007DBD2E17}"/>
            </a:ext>
          </a:extLst>
        </xdr:cNvPr>
        <xdr:cNvSpPr/>
      </xdr:nvSpPr>
      <xdr:spPr>
        <a:xfrm>
          <a:off x="190500" y="11028680"/>
          <a:ext cx="5080001" cy="3276601"/>
        </a:xfrm>
        <a:custGeom>
          <a:avLst/>
          <a:gdLst/>
          <a:ahLst/>
          <a:cxnLst/>
          <a:rect l="0" t="0" r="0" b="0"/>
          <a:pathLst>
            <a:path w="5080001" h="3276601">
              <a:moveTo>
                <a:pt x="5080000" y="3022600"/>
              </a:moveTo>
              <a:lnTo>
                <a:pt x="0" y="3022600"/>
              </a:lnTo>
              <a:lnTo>
                <a:pt x="0" y="3015988"/>
              </a:lnTo>
              <a:lnTo>
                <a:pt x="127000" y="3013264"/>
              </a:lnTo>
              <a:lnTo>
                <a:pt x="254000" y="3009548"/>
              </a:lnTo>
              <a:lnTo>
                <a:pt x="381000" y="3004536"/>
              </a:lnTo>
              <a:lnTo>
                <a:pt x="508000" y="2997848"/>
              </a:lnTo>
              <a:lnTo>
                <a:pt x="635000" y="2989023"/>
              </a:lnTo>
              <a:lnTo>
                <a:pt x="762000" y="2977501"/>
              </a:lnTo>
              <a:lnTo>
                <a:pt x="889000" y="2962629"/>
              </a:lnTo>
              <a:lnTo>
                <a:pt x="1016000" y="2943645"/>
              </a:lnTo>
              <a:lnTo>
                <a:pt x="1143000" y="2919689"/>
              </a:lnTo>
              <a:lnTo>
                <a:pt x="1270000" y="2889796"/>
              </a:lnTo>
              <a:lnTo>
                <a:pt x="1397000" y="2852927"/>
              </a:lnTo>
              <a:lnTo>
                <a:pt x="1524000" y="2807979"/>
              </a:lnTo>
              <a:lnTo>
                <a:pt x="1651000" y="2753826"/>
              </a:lnTo>
              <a:lnTo>
                <a:pt x="1778000" y="2689357"/>
              </a:lnTo>
              <a:lnTo>
                <a:pt x="1905000" y="2613535"/>
              </a:lnTo>
              <a:lnTo>
                <a:pt x="2032000" y="2525460"/>
              </a:lnTo>
              <a:lnTo>
                <a:pt x="2159000" y="2424431"/>
              </a:lnTo>
              <a:lnTo>
                <a:pt x="2286000" y="2310035"/>
              </a:lnTo>
              <a:lnTo>
                <a:pt x="2413000" y="2182205"/>
              </a:lnTo>
              <a:lnTo>
                <a:pt x="2540000" y="2041305"/>
              </a:lnTo>
              <a:lnTo>
                <a:pt x="2667000" y="1888185"/>
              </a:lnTo>
              <a:lnTo>
                <a:pt x="2794000" y="1724220"/>
              </a:lnTo>
              <a:lnTo>
                <a:pt x="2921000" y="1551343"/>
              </a:lnTo>
              <a:lnTo>
                <a:pt x="3048000" y="1372035"/>
              </a:lnTo>
              <a:lnTo>
                <a:pt x="3175000" y="1189301"/>
              </a:lnTo>
              <a:lnTo>
                <a:pt x="3302000" y="1006596"/>
              </a:lnTo>
              <a:lnTo>
                <a:pt x="3429000" y="827742"/>
              </a:lnTo>
              <a:lnTo>
                <a:pt x="3556000" y="656797"/>
              </a:lnTo>
              <a:lnTo>
                <a:pt x="3683000" y="497913"/>
              </a:lnTo>
              <a:lnTo>
                <a:pt x="3810000" y="355165"/>
              </a:lnTo>
              <a:lnTo>
                <a:pt x="3937000" y="232388"/>
              </a:lnTo>
              <a:lnTo>
                <a:pt x="4064000" y="133002"/>
              </a:lnTo>
              <a:lnTo>
                <a:pt x="4191000" y="59852"/>
              </a:lnTo>
              <a:lnTo>
                <a:pt x="4318000" y="15075"/>
              </a:lnTo>
              <a:lnTo>
                <a:pt x="4445000" y="0"/>
              </a:lnTo>
              <a:lnTo>
                <a:pt x="4572000" y="15075"/>
              </a:lnTo>
              <a:lnTo>
                <a:pt x="4699000" y="59852"/>
              </a:lnTo>
              <a:lnTo>
                <a:pt x="4826000" y="133002"/>
              </a:lnTo>
              <a:lnTo>
                <a:pt x="4953000" y="232388"/>
              </a:lnTo>
              <a:lnTo>
                <a:pt x="5080000" y="355165"/>
              </a:lnTo>
              <a:lnTo>
                <a:pt x="5080000" y="3276600"/>
              </a:lnTo>
              <a:close/>
            </a:path>
          </a:pathLst>
        </a:custGeom>
        <a:solidFill>
          <a:schemeClr val="accent4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twoCellAnchor editAs="absolute">
    <xdr:from>
      <xdr:col>0</xdr:col>
      <xdr:colOff>190500</xdr:colOff>
      <xdr:row>66</xdr:row>
      <xdr:rowOff>11715</xdr:rowOff>
    </xdr:from>
    <xdr:to>
      <xdr:col>6</xdr:col>
      <xdr:colOff>416561</xdr:colOff>
      <xdr:row>85</xdr:row>
      <xdr:rowOff>10161</xdr:rowOff>
    </xdr:to>
    <xdr:sp macro="" textlink="">
      <xdr:nvSpPr>
        <xdr:cNvPr id="43" name="Forma libre: forma 42">
          <a:extLst>
            <a:ext uri="{FF2B5EF4-FFF2-40B4-BE49-F238E27FC236}">
              <a16:creationId xmlns:a16="http://schemas.microsoft.com/office/drawing/2014/main" id="{19D01062-97A8-4414-BC5C-6B9C692B0315}"/>
            </a:ext>
          </a:extLst>
        </xdr:cNvPr>
        <xdr:cNvSpPr/>
      </xdr:nvSpPr>
      <xdr:spPr>
        <a:xfrm>
          <a:off x="190500" y="11121675"/>
          <a:ext cx="4127501" cy="3183606"/>
        </a:xfrm>
        <a:custGeom>
          <a:avLst/>
          <a:gdLst/>
          <a:ahLst/>
          <a:cxnLst/>
          <a:rect l="0" t="0" r="0" b="0"/>
          <a:pathLst>
            <a:path w="4127501" h="3183606">
              <a:moveTo>
                <a:pt x="4127500" y="2929605"/>
              </a:moveTo>
              <a:lnTo>
                <a:pt x="0" y="2929605"/>
              </a:lnTo>
              <a:lnTo>
                <a:pt x="0" y="2922993"/>
              </a:lnTo>
              <a:lnTo>
                <a:pt x="127000" y="2920269"/>
              </a:lnTo>
              <a:lnTo>
                <a:pt x="254000" y="2916553"/>
              </a:lnTo>
              <a:lnTo>
                <a:pt x="381000" y="2911541"/>
              </a:lnTo>
              <a:lnTo>
                <a:pt x="508000" y="2904853"/>
              </a:lnTo>
              <a:lnTo>
                <a:pt x="635000" y="2896028"/>
              </a:lnTo>
              <a:lnTo>
                <a:pt x="762000" y="2884506"/>
              </a:lnTo>
              <a:lnTo>
                <a:pt x="889000" y="2869634"/>
              </a:lnTo>
              <a:lnTo>
                <a:pt x="1016000" y="2850650"/>
              </a:lnTo>
              <a:lnTo>
                <a:pt x="1143000" y="2826694"/>
              </a:lnTo>
              <a:lnTo>
                <a:pt x="1270000" y="2796801"/>
              </a:lnTo>
              <a:lnTo>
                <a:pt x="1397000" y="2759932"/>
              </a:lnTo>
              <a:lnTo>
                <a:pt x="1524000" y="2714984"/>
              </a:lnTo>
              <a:lnTo>
                <a:pt x="1651000" y="2660831"/>
              </a:lnTo>
              <a:lnTo>
                <a:pt x="1778000" y="2596362"/>
              </a:lnTo>
              <a:lnTo>
                <a:pt x="1905000" y="2520540"/>
              </a:lnTo>
              <a:lnTo>
                <a:pt x="2032000" y="2432465"/>
              </a:lnTo>
              <a:lnTo>
                <a:pt x="2159000" y="2331436"/>
              </a:lnTo>
              <a:lnTo>
                <a:pt x="2286000" y="2217040"/>
              </a:lnTo>
              <a:lnTo>
                <a:pt x="2413000" y="2089210"/>
              </a:lnTo>
              <a:lnTo>
                <a:pt x="2540000" y="1948310"/>
              </a:lnTo>
              <a:lnTo>
                <a:pt x="2667000" y="1795190"/>
              </a:lnTo>
              <a:lnTo>
                <a:pt x="2794000" y="1631225"/>
              </a:lnTo>
              <a:lnTo>
                <a:pt x="2921000" y="1458348"/>
              </a:lnTo>
              <a:lnTo>
                <a:pt x="3048000" y="1279040"/>
              </a:lnTo>
              <a:lnTo>
                <a:pt x="3175000" y="1096306"/>
              </a:lnTo>
              <a:lnTo>
                <a:pt x="3302000" y="913601"/>
              </a:lnTo>
              <a:lnTo>
                <a:pt x="3429000" y="734747"/>
              </a:lnTo>
              <a:lnTo>
                <a:pt x="3556000" y="563802"/>
              </a:lnTo>
              <a:lnTo>
                <a:pt x="3683000" y="404918"/>
              </a:lnTo>
              <a:lnTo>
                <a:pt x="3810000" y="262170"/>
              </a:lnTo>
              <a:lnTo>
                <a:pt x="3937000" y="139393"/>
              </a:lnTo>
              <a:lnTo>
                <a:pt x="4064000" y="40007"/>
              </a:lnTo>
              <a:lnTo>
                <a:pt x="4127500" y="0"/>
              </a:lnTo>
              <a:lnTo>
                <a:pt x="4127500" y="3183605"/>
              </a:lnTo>
              <a:close/>
            </a:path>
          </a:pathLst>
        </a:custGeom>
        <a:solidFill>
          <a:schemeClr val="accent3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twoCellAnchor editAs="absolute">
    <xdr:from>
      <xdr:col>6</xdr:col>
      <xdr:colOff>178097</xdr:colOff>
      <xdr:row>85</xdr:row>
      <xdr:rowOff>10160</xdr:rowOff>
    </xdr:from>
    <xdr:to>
      <xdr:col>7</xdr:col>
      <xdr:colOff>121622</xdr:colOff>
      <xdr:row>86</xdr:row>
      <xdr:rowOff>82329</xdr:rowOff>
    </xdr:to>
    <xdr:sp macro="" textlink="">
      <xdr:nvSpPr>
        <xdr:cNvPr id="44" name="CuadroTexto 43">
          <a:extLst>
            <a:ext uri="{FF2B5EF4-FFF2-40B4-BE49-F238E27FC236}">
              <a16:creationId xmlns:a16="http://schemas.microsoft.com/office/drawing/2014/main" id="{F236496A-82F8-409D-A8BE-D40648E8F9B0}"/>
            </a:ext>
          </a:extLst>
        </xdr:cNvPr>
        <xdr:cNvSpPr txBox="1"/>
      </xdr:nvSpPr>
      <xdr:spPr>
        <a:xfrm>
          <a:off x="4079537" y="14305280"/>
          <a:ext cx="476925" cy="23980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0"/>
          </a:srgbClr>
        </a:solidFill>
        <a:ln w="9525" cap="flat" cmpd="sng" algn="ctr">
          <a:solidFill>
            <a:schemeClr val="lt1">
              <a:shade val="50000"/>
            </a:schemeClr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pPr algn="ctr"/>
          <a:r>
            <a:rPr lang="es-BO" sz="1000" b="0" i="0">
              <a:latin typeface="Arial" panose="020B0604020202020204" pitchFamily="34" charset="0"/>
            </a:rPr>
            <a:t>-0.25</a:t>
          </a:r>
        </a:p>
      </xdr:txBody>
    </xdr:sp>
    <xdr:clientData/>
  </xdr:twoCellAnchor>
  <xdr:twoCellAnchor editAs="absolute">
    <xdr:from>
      <xdr:col>8</xdr:col>
      <xdr:colOff>85150</xdr:colOff>
      <xdr:row>85</xdr:row>
      <xdr:rowOff>10160</xdr:rowOff>
    </xdr:from>
    <xdr:to>
      <xdr:col>8</xdr:col>
      <xdr:colOff>519371</xdr:colOff>
      <xdr:row>86</xdr:row>
      <xdr:rowOff>82329</xdr:rowOff>
    </xdr:to>
    <xdr:sp macro="" textlink="">
      <xdr:nvSpPr>
        <xdr:cNvPr id="46" name="CuadroTexto 45">
          <a:extLst>
            <a:ext uri="{FF2B5EF4-FFF2-40B4-BE49-F238E27FC236}">
              <a16:creationId xmlns:a16="http://schemas.microsoft.com/office/drawing/2014/main" id="{F4991AB1-9010-461B-98C9-325B8405A60D}"/>
            </a:ext>
          </a:extLst>
        </xdr:cNvPr>
        <xdr:cNvSpPr txBox="1"/>
      </xdr:nvSpPr>
      <xdr:spPr>
        <a:xfrm>
          <a:off x="5053390" y="14305280"/>
          <a:ext cx="434221" cy="23980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0"/>
          </a:srgbClr>
        </a:solidFill>
        <a:ln w="9525" cap="flat" cmpd="sng" algn="ctr">
          <a:solidFill>
            <a:schemeClr val="lt1">
              <a:shade val="50000"/>
            </a:schemeClr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pPr algn="ctr"/>
          <a:r>
            <a:rPr lang="es-BO" sz="1000" b="0" i="0">
              <a:latin typeface="Arial" panose="020B0604020202020204" pitchFamily="34" charset="0"/>
            </a:rPr>
            <a:t>0.50</a:t>
          </a:r>
        </a:p>
      </xdr:txBody>
    </xdr:sp>
    <xdr:clientData/>
  </xdr:twoCellAnchor>
  <xdr:twoCellAnchor editAs="absolute">
    <xdr:from>
      <xdr:col>12</xdr:col>
      <xdr:colOff>179355</xdr:colOff>
      <xdr:row>115</xdr:row>
      <xdr:rowOff>129540</xdr:rowOff>
    </xdr:from>
    <xdr:to>
      <xdr:col>12</xdr:col>
      <xdr:colOff>435323</xdr:colOff>
      <xdr:row>117</xdr:row>
      <xdr:rowOff>34069</xdr:rowOff>
    </xdr:to>
    <xdr:sp macro="" textlink="">
      <xdr:nvSpPr>
        <xdr:cNvPr id="47" name="CuadroTexto 46">
          <a:extLst>
            <a:ext uri="{FF2B5EF4-FFF2-40B4-BE49-F238E27FC236}">
              <a16:creationId xmlns:a16="http://schemas.microsoft.com/office/drawing/2014/main" id="{97BD7570-D1F2-45FA-B958-98CFC5D72FF5}"/>
            </a:ext>
          </a:extLst>
        </xdr:cNvPr>
        <xdr:cNvSpPr txBox="1"/>
      </xdr:nvSpPr>
      <xdr:spPr>
        <a:xfrm>
          <a:off x="8317515" y="19476720"/>
          <a:ext cx="255968" cy="23980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chemeClr val="lt1">
                  <a:shade val="50000"/>
                </a:schemeClr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pPr algn="ctr"/>
          <a:r>
            <a:rPr lang="es-BO" sz="1000" b="0" i="0">
              <a:latin typeface="Arial" panose="020B0604020202020204" pitchFamily="34" charset="0"/>
            </a:rPr>
            <a:t>3</a:t>
          </a:r>
        </a:p>
      </xdr:txBody>
    </xdr:sp>
    <xdr:clientData/>
  </xdr:twoCellAnchor>
  <xdr:twoCellAnchor editAs="absolute">
    <xdr:from>
      <xdr:col>10</xdr:col>
      <xdr:colOff>494315</xdr:colOff>
      <xdr:row>115</xdr:row>
      <xdr:rowOff>129540</xdr:rowOff>
    </xdr:from>
    <xdr:to>
      <xdr:col>10</xdr:col>
      <xdr:colOff>750283</xdr:colOff>
      <xdr:row>117</xdr:row>
      <xdr:rowOff>34069</xdr:rowOff>
    </xdr:to>
    <xdr:sp macro="" textlink="">
      <xdr:nvSpPr>
        <xdr:cNvPr id="48" name="CuadroTexto 47">
          <a:extLst>
            <a:ext uri="{FF2B5EF4-FFF2-40B4-BE49-F238E27FC236}">
              <a16:creationId xmlns:a16="http://schemas.microsoft.com/office/drawing/2014/main" id="{F9D8966B-495F-4A04-BFDB-5331AA3DA09D}"/>
            </a:ext>
          </a:extLst>
        </xdr:cNvPr>
        <xdr:cNvSpPr txBox="1"/>
      </xdr:nvSpPr>
      <xdr:spPr>
        <a:xfrm>
          <a:off x="7047515" y="19476720"/>
          <a:ext cx="255968" cy="23980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chemeClr val="lt1">
                  <a:shade val="50000"/>
                </a:schemeClr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pPr algn="ctr"/>
          <a:r>
            <a:rPr lang="es-BO" sz="1000" b="0" i="0">
              <a:latin typeface="Arial" panose="020B0604020202020204" pitchFamily="34" charset="0"/>
            </a:rPr>
            <a:t>2</a:t>
          </a:r>
        </a:p>
      </xdr:txBody>
    </xdr:sp>
    <xdr:clientData/>
  </xdr:twoCellAnchor>
  <xdr:twoCellAnchor editAs="absolute">
    <xdr:from>
      <xdr:col>9</xdr:col>
      <xdr:colOff>16795</xdr:colOff>
      <xdr:row>115</xdr:row>
      <xdr:rowOff>129540</xdr:rowOff>
    </xdr:from>
    <xdr:to>
      <xdr:col>9</xdr:col>
      <xdr:colOff>272763</xdr:colOff>
      <xdr:row>117</xdr:row>
      <xdr:rowOff>34069</xdr:rowOff>
    </xdr:to>
    <xdr:sp macro="" textlink="">
      <xdr:nvSpPr>
        <xdr:cNvPr id="49" name="CuadroTexto 48">
          <a:extLst>
            <a:ext uri="{FF2B5EF4-FFF2-40B4-BE49-F238E27FC236}">
              <a16:creationId xmlns:a16="http://schemas.microsoft.com/office/drawing/2014/main" id="{C98A3DF1-6B11-41DD-90F2-CBF4B7A9E00F}"/>
            </a:ext>
          </a:extLst>
        </xdr:cNvPr>
        <xdr:cNvSpPr txBox="1"/>
      </xdr:nvSpPr>
      <xdr:spPr>
        <a:xfrm>
          <a:off x="5777515" y="19476720"/>
          <a:ext cx="255968" cy="23980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chemeClr val="lt1">
                  <a:shade val="50000"/>
                </a:schemeClr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pPr algn="ctr"/>
          <a:r>
            <a:rPr lang="es-BO" sz="1000" b="0" i="0">
              <a:latin typeface="Arial" panose="020B0604020202020204" pitchFamily="34" charset="0"/>
            </a:rPr>
            <a:t>1</a:t>
          </a:r>
        </a:p>
      </xdr:txBody>
    </xdr:sp>
    <xdr:clientData/>
  </xdr:twoCellAnchor>
  <xdr:twoCellAnchor editAs="absolute">
    <xdr:from>
      <xdr:col>7</xdr:col>
      <xdr:colOff>72675</xdr:colOff>
      <xdr:row>115</xdr:row>
      <xdr:rowOff>129540</xdr:rowOff>
    </xdr:from>
    <xdr:to>
      <xdr:col>7</xdr:col>
      <xdr:colOff>328643</xdr:colOff>
      <xdr:row>117</xdr:row>
      <xdr:rowOff>34069</xdr:rowOff>
    </xdr:to>
    <xdr:sp macro="" textlink="">
      <xdr:nvSpPr>
        <xdr:cNvPr id="50" name="CuadroTexto 49">
          <a:extLst>
            <a:ext uri="{FF2B5EF4-FFF2-40B4-BE49-F238E27FC236}">
              <a16:creationId xmlns:a16="http://schemas.microsoft.com/office/drawing/2014/main" id="{C26F5B03-FFFE-47FB-BDC3-27BAE5466316}"/>
            </a:ext>
          </a:extLst>
        </xdr:cNvPr>
        <xdr:cNvSpPr txBox="1"/>
      </xdr:nvSpPr>
      <xdr:spPr>
        <a:xfrm>
          <a:off x="4507515" y="19476720"/>
          <a:ext cx="255968" cy="23980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chemeClr val="lt1">
                  <a:shade val="50000"/>
                </a:schemeClr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pPr algn="ctr"/>
          <a:r>
            <a:rPr lang="es-BO" sz="1000" b="0" i="0">
              <a:latin typeface="Arial" panose="020B0604020202020204" pitchFamily="34" charset="0"/>
            </a:rPr>
            <a:t>0</a:t>
          </a:r>
        </a:p>
      </xdr:txBody>
    </xdr:sp>
    <xdr:clientData/>
  </xdr:twoCellAnchor>
  <xdr:twoCellAnchor editAs="absolute">
    <xdr:from>
      <xdr:col>4</xdr:col>
      <xdr:colOff>381523</xdr:colOff>
      <xdr:row>115</xdr:row>
      <xdr:rowOff>129540</xdr:rowOff>
    </xdr:from>
    <xdr:to>
      <xdr:col>5</xdr:col>
      <xdr:colOff>146795</xdr:colOff>
      <xdr:row>117</xdr:row>
      <xdr:rowOff>34069</xdr:rowOff>
    </xdr:to>
    <xdr:sp macro="" textlink="">
      <xdr:nvSpPr>
        <xdr:cNvPr id="51" name="CuadroTexto 50">
          <a:extLst>
            <a:ext uri="{FF2B5EF4-FFF2-40B4-BE49-F238E27FC236}">
              <a16:creationId xmlns:a16="http://schemas.microsoft.com/office/drawing/2014/main" id="{FB26FC52-AEFB-4A54-9EE4-FB4D2F5EBB2E}"/>
            </a:ext>
          </a:extLst>
        </xdr:cNvPr>
        <xdr:cNvSpPr txBox="1"/>
      </xdr:nvSpPr>
      <xdr:spPr>
        <a:xfrm>
          <a:off x="3216163" y="19476720"/>
          <a:ext cx="298672" cy="23980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chemeClr val="lt1">
                  <a:shade val="50000"/>
                </a:schemeClr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pPr algn="ctr"/>
          <a:r>
            <a:rPr lang="es-BO" sz="1000" b="0" i="0">
              <a:latin typeface="Arial" panose="020B0604020202020204" pitchFamily="34" charset="0"/>
            </a:rPr>
            <a:t>-1</a:t>
          </a:r>
        </a:p>
      </xdr:txBody>
    </xdr:sp>
    <xdr:clientData/>
  </xdr:twoCellAnchor>
  <xdr:twoCellAnchor editAs="absolute">
    <xdr:from>
      <xdr:col>2</xdr:col>
      <xdr:colOff>361203</xdr:colOff>
      <xdr:row>115</xdr:row>
      <xdr:rowOff>129540</xdr:rowOff>
    </xdr:from>
    <xdr:to>
      <xdr:col>3</xdr:col>
      <xdr:colOff>50275</xdr:colOff>
      <xdr:row>117</xdr:row>
      <xdr:rowOff>34069</xdr:rowOff>
    </xdr:to>
    <xdr:sp macro="" textlink="">
      <xdr:nvSpPr>
        <xdr:cNvPr id="52" name="CuadroTexto 51">
          <a:extLst>
            <a:ext uri="{FF2B5EF4-FFF2-40B4-BE49-F238E27FC236}">
              <a16:creationId xmlns:a16="http://schemas.microsoft.com/office/drawing/2014/main" id="{BD2A2B45-3873-4992-9895-DB743014C55C}"/>
            </a:ext>
          </a:extLst>
        </xdr:cNvPr>
        <xdr:cNvSpPr txBox="1"/>
      </xdr:nvSpPr>
      <xdr:spPr>
        <a:xfrm>
          <a:off x="1946163" y="19476720"/>
          <a:ext cx="298672" cy="23980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chemeClr val="lt1">
                  <a:shade val="50000"/>
                </a:schemeClr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pPr algn="ctr"/>
          <a:r>
            <a:rPr lang="es-BO" sz="1000" b="0" i="0">
              <a:latin typeface="Arial" panose="020B0604020202020204" pitchFamily="34" charset="0"/>
            </a:rPr>
            <a:t>-2</a:t>
          </a:r>
        </a:p>
      </xdr:txBody>
    </xdr:sp>
    <xdr:clientData/>
  </xdr:twoCellAnchor>
  <xdr:twoCellAnchor editAs="absolute">
    <xdr:from>
      <xdr:col>0</xdr:col>
      <xdr:colOff>676163</xdr:colOff>
      <xdr:row>115</xdr:row>
      <xdr:rowOff>129540</xdr:rowOff>
    </xdr:from>
    <xdr:to>
      <xdr:col>1</xdr:col>
      <xdr:colOff>182355</xdr:colOff>
      <xdr:row>117</xdr:row>
      <xdr:rowOff>34069</xdr:rowOff>
    </xdr:to>
    <xdr:sp macro="" textlink="">
      <xdr:nvSpPr>
        <xdr:cNvPr id="53" name="CuadroTexto 52">
          <a:extLst>
            <a:ext uri="{FF2B5EF4-FFF2-40B4-BE49-F238E27FC236}">
              <a16:creationId xmlns:a16="http://schemas.microsoft.com/office/drawing/2014/main" id="{E0ACFCB8-BBB6-4D20-B302-195D2E1CB062}"/>
            </a:ext>
          </a:extLst>
        </xdr:cNvPr>
        <xdr:cNvSpPr txBox="1"/>
      </xdr:nvSpPr>
      <xdr:spPr>
        <a:xfrm>
          <a:off x="676163" y="19476720"/>
          <a:ext cx="298672" cy="23980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chemeClr val="lt1">
                  <a:shade val="50000"/>
                </a:schemeClr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pPr algn="ctr"/>
          <a:r>
            <a:rPr lang="es-BO" sz="1000" b="0" i="0">
              <a:latin typeface="Arial" panose="020B0604020202020204" pitchFamily="34" charset="0"/>
            </a:rPr>
            <a:t>-3</a:t>
          </a:r>
        </a:p>
      </xdr:txBody>
    </xdr:sp>
    <xdr:clientData/>
  </xdr:twoCellAnchor>
  <xdr:twoCellAnchor editAs="absolute">
    <xdr:from>
      <xdr:col>0</xdr:col>
      <xdr:colOff>30977</xdr:colOff>
      <xdr:row>96</xdr:row>
      <xdr:rowOff>63500</xdr:rowOff>
    </xdr:from>
    <xdr:to>
      <xdr:col>0</xdr:col>
      <xdr:colOff>400822</xdr:colOff>
      <xdr:row>97</xdr:row>
      <xdr:rowOff>135669</xdr:rowOff>
    </xdr:to>
    <xdr:sp macro="" textlink="">
      <xdr:nvSpPr>
        <xdr:cNvPr id="54" name="CuadroTexto 53">
          <a:extLst>
            <a:ext uri="{FF2B5EF4-FFF2-40B4-BE49-F238E27FC236}">
              <a16:creationId xmlns:a16="http://schemas.microsoft.com/office/drawing/2014/main" id="{15618DF5-88EF-48A9-8692-BBABCAAC70BE}"/>
            </a:ext>
          </a:extLst>
        </xdr:cNvPr>
        <xdr:cNvSpPr txBox="1"/>
      </xdr:nvSpPr>
      <xdr:spPr>
        <a:xfrm>
          <a:off x="30977" y="16225520"/>
          <a:ext cx="369845" cy="23980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chemeClr val="lt1">
                  <a:shade val="50000"/>
                </a:schemeClr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pPr algn="ctr"/>
          <a:r>
            <a:rPr lang="es-BO" sz="1000" b="0" i="0">
              <a:latin typeface="Arial" panose="020B0604020202020204" pitchFamily="34" charset="0"/>
            </a:rPr>
            <a:t>f(z)</a:t>
          </a:r>
        </a:p>
      </xdr:txBody>
    </xdr:sp>
    <xdr:clientData/>
  </xdr:twoCellAnchor>
  <xdr:twoCellAnchor editAs="absolute">
    <xdr:from>
      <xdr:col>0</xdr:col>
      <xdr:colOff>91507</xdr:colOff>
      <xdr:row>115</xdr:row>
      <xdr:rowOff>129540</xdr:rowOff>
    </xdr:from>
    <xdr:to>
      <xdr:col>0</xdr:col>
      <xdr:colOff>340293</xdr:colOff>
      <xdr:row>117</xdr:row>
      <xdr:rowOff>34069</xdr:rowOff>
    </xdr:to>
    <xdr:sp macro="" textlink="">
      <xdr:nvSpPr>
        <xdr:cNvPr id="55" name="CuadroTexto 54">
          <a:extLst>
            <a:ext uri="{FF2B5EF4-FFF2-40B4-BE49-F238E27FC236}">
              <a16:creationId xmlns:a16="http://schemas.microsoft.com/office/drawing/2014/main" id="{EE26713D-8365-4F5A-81C2-E192CC80B2DA}"/>
            </a:ext>
          </a:extLst>
        </xdr:cNvPr>
        <xdr:cNvSpPr txBox="1"/>
      </xdr:nvSpPr>
      <xdr:spPr>
        <a:xfrm>
          <a:off x="91507" y="19476720"/>
          <a:ext cx="248786" cy="23980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chemeClr val="lt1">
                  <a:shade val="50000"/>
                </a:schemeClr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pPr algn="ctr"/>
          <a:r>
            <a:rPr lang="es-BO" sz="1000" b="0" i="0">
              <a:latin typeface="Arial" panose="020B0604020202020204" pitchFamily="34" charset="0"/>
            </a:rPr>
            <a:t>z</a:t>
          </a:r>
        </a:p>
      </xdr:txBody>
    </xdr:sp>
    <xdr:clientData/>
  </xdr:twoCellAnchor>
  <xdr:twoCellAnchor editAs="absolute">
    <xdr:from>
      <xdr:col>0</xdr:col>
      <xdr:colOff>190500</xdr:colOff>
      <xdr:row>97</xdr:row>
      <xdr:rowOff>86360</xdr:rowOff>
    </xdr:from>
    <xdr:to>
      <xdr:col>13</xdr:col>
      <xdr:colOff>149861</xdr:colOff>
      <xdr:row>115</xdr:row>
      <xdr:rowOff>142241</xdr:rowOff>
    </xdr:to>
    <xdr:sp macro="" textlink="">
      <xdr:nvSpPr>
        <xdr:cNvPr id="56" name="Forma libre: forma 55">
          <a:extLst>
            <a:ext uri="{FF2B5EF4-FFF2-40B4-BE49-F238E27FC236}">
              <a16:creationId xmlns:a16="http://schemas.microsoft.com/office/drawing/2014/main" id="{7536B25D-5603-44C5-ADCA-0E06F25CCABF}"/>
            </a:ext>
          </a:extLst>
        </xdr:cNvPr>
        <xdr:cNvSpPr/>
      </xdr:nvSpPr>
      <xdr:spPr>
        <a:xfrm>
          <a:off x="190500" y="16416020"/>
          <a:ext cx="8890001" cy="3073401"/>
        </a:xfrm>
        <a:custGeom>
          <a:avLst/>
          <a:gdLst/>
          <a:ahLst/>
          <a:cxnLst/>
          <a:rect l="0" t="0" r="0" b="0"/>
          <a:pathLst>
            <a:path w="8890001" h="3073401">
              <a:moveTo>
                <a:pt x="8890000" y="3022600"/>
              </a:moveTo>
              <a:lnTo>
                <a:pt x="8255000" y="3022600"/>
              </a:lnTo>
              <a:lnTo>
                <a:pt x="8255000" y="3073400"/>
              </a:lnTo>
              <a:lnTo>
                <a:pt x="8255000" y="3022600"/>
              </a:lnTo>
              <a:lnTo>
                <a:pt x="6985000" y="3022600"/>
              </a:lnTo>
              <a:lnTo>
                <a:pt x="6985000" y="3073400"/>
              </a:lnTo>
              <a:lnTo>
                <a:pt x="6985000" y="3022600"/>
              </a:lnTo>
              <a:lnTo>
                <a:pt x="5715000" y="3022600"/>
              </a:lnTo>
              <a:lnTo>
                <a:pt x="5715000" y="3073400"/>
              </a:lnTo>
              <a:lnTo>
                <a:pt x="5715000" y="3022600"/>
              </a:lnTo>
              <a:lnTo>
                <a:pt x="4445000" y="3022600"/>
              </a:lnTo>
              <a:lnTo>
                <a:pt x="4445000" y="3073400"/>
              </a:lnTo>
              <a:lnTo>
                <a:pt x="4445000" y="3022600"/>
              </a:lnTo>
              <a:lnTo>
                <a:pt x="3175000" y="3022600"/>
              </a:lnTo>
              <a:lnTo>
                <a:pt x="3175000" y="3073400"/>
              </a:lnTo>
              <a:lnTo>
                <a:pt x="3175000" y="3022600"/>
              </a:lnTo>
              <a:lnTo>
                <a:pt x="1905000" y="3022600"/>
              </a:lnTo>
              <a:lnTo>
                <a:pt x="1905000" y="3073400"/>
              </a:lnTo>
              <a:lnTo>
                <a:pt x="1905000" y="3022600"/>
              </a:lnTo>
              <a:lnTo>
                <a:pt x="635000" y="3022600"/>
              </a:lnTo>
              <a:lnTo>
                <a:pt x="635000" y="3073400"/>
              </a:lnTo>
              <a:lnTo>
                <a:pt x="635000" y="3022600"/>
              </a:lnTo>
              <a:lnTo>
                <a:pt x="0" y="3022600"/>
              </a:lnTo>
              <a:lnTo>
                <a:pt x="0" y="3015988"/>
              </a:lnTo>
              <a:lnTo>
                <a:pt x="127000" y="3013264"/>
              </a:lnTo>
              <a:lnTo>
                <a:pt x="254000" y="3009549"/>
              </a:lnTo>
              <a:lnTo>
                <a:pt x="381000" y="3004537"/>
              </a:lnTo>
              <a:lnTo>
                <a:pt x="508000" y="2997849"/>
              </a:lnTo>
              <a:lnTo>
                <a:pt x="635000" y="2989022"/>
              </a:lnTo>
              <a:lnTo>
                <a:pt x="762000" y="2977500"/>
              </a:lnTo>
              <a:lnTo>
                <a:pt x="889000" y="2962628"/>
              </a:lnTo>
              <a:lnTo>
                <a:pt x="1016000" y="2943645"/>
              </a:lnTo>
              <a:lnTo>
                <a:pt x="1143000" y="2919688"/>
              </a:lnTo>
              <a:lnTo>
                <a:pt x="1270000" y="2889797"/>
              </a:lnTo>
              <a:lnTo>
                <a:pt x="1397000" y="2852926"/>
              </a:lnTo>
              <a:lnTo>
                <a:pt x="1524000" y="2807979"/>
              </a:lnTo>
              <a:lnTo>
                <a:pt x="1651000" y="2753825"/>
              </a:lnTo>
              <a:lnTo>
                <a:pt x="1778000" y="2689356"/>
              </a:lnTo>
              <a:lnTo>
                <a:pt x="1905000" y="2613536"/>
              </a:lnTo>
              <a:lnTo>
                <a:pt x="2032000" y="2525459"/>
              </a:lnTo>
              <a:lnTo>
                <a:pt x="2159000" y="2424432"/>
              </a:lnTo>
              <a:lnTo>
                <a:pt x="2286000" y="2310034"/>
              </a:lnTo>
              <a:lnTo>
                <a:pt x="2413000" y="2182204"/>
              </a:lnTo>
              <a:lnTo>
                <a:pt x="2540000" y="2041306"/>
              </a:lnTo>
              <a:lnTo>
                <a:pt x="2667000" y="1888185"/>
              </a:lnTo>
              <a:lnTo>
                <a:pt x="2794000" y="1724220"/>
              </a:lnTo>
              <a:lnTo>
                <a:pt x="2921000" y="1551342"/>
              </a:lnTo>
              <a:lnTo>
                <a:pt x="3048000" y="1372035"/>
              </a:lnTo>
              <a:lnTo>
                <a:pt x="3175000" y="1189301"/>
              </a:lnTo>
              <a:lnTo>
                <a:pt x="3302000" y="1006596"/>
              </a:lnTo>
              <a:lnTo>
                <a:pt x="3429000" y="827741"/>
              </a:lnTo>
              <a:lnTo>
                <a:pt x="3556000" y="656797"/>
              </a:lnTo>
              <a:lnTo>
                <a:pt x="3683000" y="497912"/>
              </a:lnTo>
              <a:lnTo>
                <a:pt x="3810000" y="355166"/>
              </a:lnTo>
              <a:lnTo>
                <a:pt x="3937000" y="232389"/>
              </a:lnTo>
              <a:lnTo>
                <a:pt x="4064000" y="133002"/>
              </a:lnTo>
              <a:lnTo>
                <a:pt x="4191000" y="59852"/>
              </a:lnTo>
              <a:lnTo>
                <a:pt x="4318000" y="15075"/>
              </a:lnTo>
              <a:lnTo>
                <a:pt x="4445000" y="0"/>
              </a:lnTo>
              <a:lnTo>
                <a:pt x="4572000" y="15075"/>
              </a:lnTo>
              <a:lnTo>
                <a:pt x="4699000" y="59852"/>
              </a:lnTo>
              <a:lnTo>
                <a:pt x="4826000" y="133002"/>
              </a:lnTo>
              <a:lnTo>
                <a:pt x="4953000" y="232389"/>
              </a:lnTo>
              <a:lnTo>
                <a:pt x="5080000" y="355166"/>
              </a:lnTo>
              <a:lnTo>
                <a:pt x="5207000" y="497912"/>
              </a:lnTo>
              <a:lnTo>
                <a:pt x="5334000" y="656797"/>
              </a:lnTo>
              <a:lnTo>
                <a:pt x="5461000" y="827741"/>
              </a:lnTo>
              <a:lnTo>
                <a:pt x="5588000" y="1006596"/>
              </a:lnTo>
              <a:lnTo>
                <a:pt x="5715000" y="1189301"/>
              </a:lnTo>
              <a:lnTo>
                <a:pt x="5842000" y="1372035"/>
              </a:lnTo>
              <a:lnTo>
                <a:pt x="5969000" y="1551342"/>
              </a:lnTo>
              <a:lnTo>
                <a:pt x="6096000" y="1724220"/>
              </a:lnTo>
              <a:lnTo>
                <a:pt x="6223000" y="1888185"/>
              </a:lnTo>
              <a:lnTo>
                <a:pt x="6350000" y="2041306"/>
              </a:lnTo>
              <a:lnTo>
                <a:pt x="6477000" y="2182204"/>
              </a:lnTo>
              <a:lnTo>
                <a:pt x="6604000" y="2310034"/>
              </a:lnTo>
              <a:lnTo>
                <a:pt x="6731000" y="2424432"/>
              </a:lnTo>
              <a:lnTo>
                <a:pt x="6858000" y="2525459"/>
              </a:lnTo>
              <a:lnTo>
                <a:pt x="6985000" y="2613536"/>
              </a:lnTo>
              <a:lnTo>
                <a:pt x="7112000" y="2689356"/>
              </a:lnTo>
              <a:lnTo>
                <a:pt x="7239000" y="2753825"/>
              </a:lnTo>
              <a:lnTo>
                <a:pt x="7366000" y="2807979"/>
              </a:lnTo>
              <a:lnTo>
                <a:pt x="7493000" y="2852926"/>
              </a:lnTo>
              <a:lnTo>
                <a:pt x="7620000" y="2889797"/>
              </a:lnTo>
              <a:lnTo>
                <a:pt x="7747000" y="2919688"/>
              </a:lnTo>
              <a:lnTo>
                <a:pt x="7874000" y="2943645"/>
              </a:lnTo>
              <a:lnTo>
                <a:pt x="8001000" y="2962628"/>
              </a:lnTo>
              <a:lnTo>
                <a:pt x="8128000" y="2977500"/>
              </a:lnTo>
              <a:lnTo>
                <a:pt x="8255000" y="2989022"/>
              </a:lnTo>
              <a:lnTo>
                <a:pt x="8382000" y="2997849"/>
              </a:lnTo>
              <a:lnTo>
                <a:pt x="8509000" y="3004537"/>
              </a:lnTo>
              <a:lnTo>
                <a:pt x="8636000" y="3009549"/>
              </a:lnTo>
              <a:lnTo>
                <a:pt x="8763000" y="3013264"/>
              </a:lnTo>
              <a:lnTo>
                <a:pt x="8890000" y="3015988"/>
              </a:lnTo>
            </a:path>
          </a:pathLst>
        </a:custGeom>
        <a:solidFill>
          <a:schemeClr val="tx2">
            <a:lumMod val="50000"/>
            <a:lumOff val="5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twoCellAnchor editAs="absolute">
    <xdr:from>
      <xdr:col>0</xdr:col>
      <xdr:colOff>190500</xdr:colOff>
      <xdr:row>97</xdr:row>
      <xdr:rowOff>86360</xdr:rowOff>
    </xdr:from>
    <xdr:to>
      <xdr:col>0</xdr:col>
      <xdr:colOff>190500</xdr:colOff>
      <xdr:row>115</xdr:row>
      <xdr:rowOff>91440</xdr:rowOff>
    </xdr:to>
    <xdr:cxnSp macro="">
      <xdr:nvCxnSpPr>
        <xdr:cNvPr id="57" name="Conector recto 56">
          <a:extLst>
            <a:ext uri="{FF2B5EF4-FFF2-40B4-BE49-F238E27FC236}">
              <a16:creationId xmlns:a16="http://schemas.microsoft.com/office/drawing/2014/main" id="{C15FB8B0-923F-43DA-9DA8-F152748391A7}"/>
            </a:ext>
          </a:extLst>
        </xdr:cNvPr>
        <xdr:cNvCxnSpPr/>
      </xdr:nvCxnSpPr>
      <xdr:spPr>
        <a:xfrm flipV="1">
          <a:off x="190500" y="16416020"/>
          <a:ext cx="0" cy="3022600"/>
        </a:xfrm>
        <a:prstGeom prst="line">
          <a:avLst/>
        </a:prstGeom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190500</xdr:colOff>
      <xdr:row>97</xdr:row>
      <xdr:rowOff>86360</xdr:rowOff>
    </xdr:from>
    <xdr:to>
      <xdr:col>8</xdr:col>
      <xdr:colOff>408094</xdr:colOff>
      <xdr:row>117</xdr:row>
      <xdr:rowOff>10161</xdr:rowOff>
    </xdr:to>
    <xdr:sp macro="" textlink="">
      <xdr:nvSpPr>
        <xdr:cNvPr id="58" name="Forma libre: forma 57">
          <a:extLst>
            <a:ext uri="{FF2B5EF4-FFF2-40B4-BE49-F238E27FC236}">
              <a16:creationId xmlns:a16="http://schemas.microsoft.com/office/drawing/2014/main" id="{907277DB-A193-41B0-9221-998DF2934152}"/>
            </a:ext>
          </a:extLst>
        </xdr:cNvPr>
        <xdr:cNvSpPr/>
      </xdr:nvSpPr>
      <xdr:spPr>
        <a:xfrm>
          <a:off x="190500" y="16416020"/>
          <a:ext cx="5185834" cy="3276601"/>
        </a:xfrm>
        <a:custGeom>
          <a:avLst/>
          <a:gdLst/>
          <a:ahLst/>
          <a:cxnLst/>
          <a:rect l="0" t="0" r="0" b="0"/>
          <a:pathLst>
            <a:path w="5185834" h="3276601">
              <a:moveTo>
                <a:pt x="5185833" y="3022600"/>
              </a:moveTo>
              <a:lnTo>
                <a:pt x="0" y="3022600"/>
              </a:lnTo>
              <a:lnTo>
                <a:pt x="0" y="3015988"/>
              </a:lnTo>
              <a:lnTo>
                <a:pt x="127000" y="3013264"/>
              </a:lnTo>
              <a:lnTo>
                <a:pt x="254000" y="3009549"/>
              </a:lnTo>
              <a:lnTo>
                <a:pt x="381000" y="3004537"/>
              </a:lnTo>
              <a:lnTo>
                <a:pt x="508000" y="2997849"/>
              </a:lnTo>
              <a:lnTo>
                <a:pt x="635000" y="2989022"/>
              </a:lnTo>
              <a:lnTo>
                <a:pt x="762000" y="2977500"/>
              </a:lnTo>
              <a:lnTo>
                <a:pt x="889000" y="2962628"/>
              </a:lnTo>
              <a:lnTo>
                <a:pt x="1016000" y="2943645"/>
              </a:lnTo>
              <a:lnTo>
                <a:pt x="1143000" y="2919688"/>
              </a:lnTo>
              <a:lnTo>
                <a:pt x="1270000" y="2889797"/>
              </a:lnTo>
              <a:lnTo>
                <a:pt x="1397000" y="2852926"/>
              </a:lnTo>
              <a:lnTo>
                <a:pt x="1524000" y="2807979"/>
              </a:lnTo>
              <a:lnTo>
                <a:pt x="1651000" y="2753825"/>
              </a:lnTo>
              <a:lnTo>
                <a:pt x="1778000" y="2689356"/>
              </a:lnTo>
              <a:lnTo>
                <a:pt x="1905000" y="2613536"/>
              </a:lnTo>
              <a:lnTo>
                <a:pt x="2032000" y="2525459"/>
              </a:lnTo>
              <a:lnTo>
                <a:pt x="2159000" y="2424432"/>
              </a:lnTo>
              <a:lnTo>
                <a:pt x="2286000" y="2310034"/>
              </a:lnTo>
              <a:lnTo>
                <a:pt x="2413000" y="2182204"/>
              </a:lnTo>
              <a:lnTo>
                <a:pt x="2540000" y="2041306"/>
              </a:lnTo>
              <a:lnTo>
                <a:pt x="2667000" y="1888185"/>
              </a:lnTo>
              <a:lnTo>
                <a:pt x="2794000" y="1724220"/>
              </a:lnTo>
              <a:lnTo>
                <a:pt x="2921000" y="1551342"/>
              </a:lnTo>
              <a:lnTo>
                <a:pt x="3048000" y="1372035"/>
              </a:lnTo>
              <a:lnTo>
                <a:pt x="3175000" y="1189301"/>
              </a:lnTo>
              <a:lnTo>
                <a:pt x="3302000" y="1006596"/>
              </a:lnTo>
              <a:lnTo>
                <a:pt x="3429000" y="827741"/>
              </a:lnTo>
              <a:lnTo>
                <a:pt x="3556000" y="656797"/>
              </a:lnTo>
              <a:lnTo>
                <a:pt x="3683000" y="497912"/>
              </a:lnTo>
              <a:lnTo>
                <a:pt x="3810000" y="355166"/>
              </a:lnTo>
              <a:lnTo>
                <a:pt x="3937000" y="232389"/>
              </a:lnTo>
              <a:lnTo>
                <a:pt x="4064000" y="133002"/>
              </a:lnTo>
              <a:lnTo>
                <a:pt x="4191000" y="59852"/>
              </a:lnTo>
              <a:lnTo>
                <a:pt x="4318000" y="15075"/>
              </a:lnTo>
              <a:lnTo>
                <a:pt x="4445000" y="0"/>
              </a:lnTo>
              <a:lnTo>
                <a:pt x="4572000" y="15075"/>
              </a:lnTo>
              <a:lnTo>
                <a:pt x="4699000" y="59852"/>
              </a:lnTo>
              <a:lnTo>
                <a:pt x="4826000" y="133002"/>
              </a:lnTo>
              <a:lnTo>
                <a:pt x="4953000" y="232389"/>
              </a:lnTo>
              <a:lnTo>
                <a:pt x="5080000" y="355166"/>
              </a:lnTo>
              <a:lnTo>
                <a:pt x="5185833" y="472893"/>
              </a:lnTo>
              <a:lnTo>
                <a:pt x="5185833" y="3276600"/>
              </a:lnTo>
              <a:close/>
            </a:path>
          </a:pathLst>
        </a:cu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twoCellAnchor editAs="absolute">
    <xdr:from>
      <xdr:col>8</xdr:col>
      <xdr:colOff>190983</xdr:colOff>
      <xdr:row>117</xdr:row>
      <xdr:rowOff>10160</xdr:rowOff>
    </xdr:from>
    <xdr:to>
      <xdr:col>8</xdr:col>
      <xdr:colOff>625204</xdr:colOff>
      <xdr:row>118</xdr:row>
      <xdr:rowOff>82329</xdr:rowOff>
    </xdr:to>
    <xdr:sp macro="" textlink="">
      <xdr:nvSpPr>
        <xdr:cNvPr id="59" name="CuadroTexto 58">
          <a:extLst>
            <a:ext uri="{FF2B5EF4-FFF2-40B4-BE49-F238E27FC236}">
              <a16:creationId xmlns:a16="http://schemas.microsoft.com/office/drawing/2014/main" id="{6BDBABA2-D60D-4F1E-A303-4764B2472569}"/>
            </a:ext>
          </a:extLst>
        </xdr:cNvPr>
        <xdr:cNvSpPr txBox="1"/>
      </xdr:nvSpPr>
      <xdr:spPr>
        <a:xfrm>
          <a:off x="5159223" y="19692620"/>
          <a:ext cx="434221" cy="23980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0"/>
          </a:srgbClr>
        </a:solidFill>
        <a:ln w="9525" cap="flat" cmpd="sng" algn="ctr">
          <a:solidFill>
            <a:schemeClr val="lt1">
              <a:shade val="50000"/>
            </a:schemeClr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pPr algn="ctr"/>
          <a:r>
            <a:rPr lang="es-BO" sz="1000" b="0" i="0">
              <a:latin typeface="Arial" panose="020B0604020202020204" pitchFamily="34" charset="0"/>
            </a:rPr>
            <a:t>0.58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790804</xdr:colOff>
      <xdr:row>5</xdr:row>
      <xdr:rowOff>160020</xdr:rowOff>
    </xdr:from>
    <xdr:to>
      <xdr:col>4</xdr:col>
      <xdr:colOff>775472</xdr:colOff>
      <xdr:row>8</xdr:row>
      <xdr:rowOff>26736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DB61BE0-4391-4C51-9BC6-2D4630218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68244" y="998220"/>
          <a:ext cx="777148" cy="377256"/>
        </a:xfrm>
        <a:prstGeom prst="rect">
          <a:avLst/>
        </a:prstGeom>
      </xdr:spPr>
    </xdr:pic>
    <xdr:clientData/>
  </xdr:twoCellAnchor>
  <xdr:twoCellAnchor editAs="oneCell">
    <xdr:from>
      <xdr:col>3</xdr:col>
      <xdr:colOff>198119</xdr:colOff>
      <xdr:row>10</xdr:row>
      <xdr:rowOff>121920</xdr:rowOff>
    </xdr:from>
    <xdr:to>
      <xdr:col>9</xdr:col>
      <xdr:colOff>0</xdr:colOff>
      <xdr:row>15</xdr:row>
      <xdr:rowOff>114417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6C14481-1D64-4237-AE1E-87355695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5559" y="1882140"/>
          <a:ext cx="4556761" cy="838317"/>
        </a:xfrm>
        <a:prstGeom prst="rect">
          <a:avLst/>
        </a:prstGeom>
      </xdr:spPr>
    </xdr:pic>
    <xdr:clientData/>
  </xdr:twoCellAnchor>
  <xdr:twoCellAnchor editAs="oneCell">
    <xdr:from>
      <xdr:col>9</xdr:col>
      <xdr:colOff>12972</xdr:colOff>
      <xdr:row>5</xdr:row>
      <xdr:rowOff>7620</xdr:rowOff>
    </xdr:from>
    <xdr:to>
      <xdr:col>14</xdr:col>
      <xdr:colOff>777239</xdr:colOff>
      <xdr:row>16</xdr:row>
      <xdr:rowOff>2624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2DE69F1-0706-4E24-9A88-1A7985BEFF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45292" y="845820"/>
          <a:ext cx="4726667" cy="1930484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777148</xdr:colOff>
      <xdr:row>27</xdr:row>
      <xdr:rowOff>41976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4D6EB2A-C116-441A-8A38-7474FC4E4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69920" y="4290060"/>
          <a:ext cx="777148" cy="377256"/>
        </a:xfrm>
        <a:prstGeom prst="rect">
          <a:avLst/>
        </a:prstGeom>
      </xdr:spPr>
    </xdr:pic>
    <xdr:clientData/>
  </xdr:twoCellAnchor>
  <xdr:twoCellAnchor editAs="oneCell">
    <xdr:from>
      <xdr:col>8</xdr:col>
      <xdr:colOff>713423</xdr:colOff>
      <xdr:row>25</xdr:row>
      <xdr:rowOff>22860</xdr:rowOff>
    </xdr:from>
    <xdr:to>
      <xdr:col>14</xdr:col>
      <xdr:colOff>784860</xdr:colOff>
      <xdr:row>36</xdr:row>
      <xdr:rowOff>7620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F9CCE79B-5162-439D-BEB6-DD755AA01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53263" y="4312920"/>
          <a:ext cx="4826317" cy="1920240"/>
        </a:xfrm>
        <a:prstGeom prst="rect">
          <a:avLst/>
        </a:prstGeom>
      </xdr:spPr>
    </xdr:pic>
    <xdr:clientData/>
  </xdr:twoCellAnchor>
  <xdr:twoCellAnchor editAs="oneCell">
    <xdr:from>
      <xdr:col>3</xdr:col>
      <xdr:colOff>30481</xdr:colOff>
      <xdr:row>29</xdr:row>
      <xdr:rowOff>160020</xdr:rowOff>
    </xdr:from>
    <xdr:to>
      <xdr:col>8</xdr:col>
      <xdr:colOff>731521</xdr:colOff>
      <xdr:row>35</xdr:row>
      <xdr:rowOff>30480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3B378EA5-65C9-40C5-B14F-8617D32ED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07921" y="5196840"/>
          <a:ext cx="4663440" cy="89154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777148</xdr:colOff>
      <xdr:row>42</xdr:row>
      <xdr:rowOff>41976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205DBEB9-5F13-466B-B563-3AE80FAED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69920" y="6903720"/>
          <a:ext cx="777148" cy="377256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777148</xdr:colOff>
      <xdr:row>44</xdr:row>
      <xdr:rowOff>156276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ABFA3F01-28C6-4447-B6D2-DCE451060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69920" y="7429500"/>
          <a:ext cx="777148" cy="377256"/>
        </a:xfrm>
        <a:prstGeom prst="rect">
          <a:avLst/>
        </a:prstGeom>
      </xdr:spPr>
    </xdr:pic>
    <xdr:clientData/>
  </xdr:twoCellAnchor>
  <xdr:twoCellAnchor>
    <xdr:from>
      <xdr:col>11</xdr:col>
      <xdr:colOff>662940</xdr:colOff>
      <xdr:row>25</xdr:row>
      <xdr:rowOff>106680</xdr:rowOff>
    </xdr:from>
    <xdr:to>
      <xdr:col>11</xdr:col>
      <xdr:colOff>670560</xdr:colOff>
      <xdr:row>34</xdr:row>
      <xdr:rowOff>137160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C231775-B40B-4136-A580-28FC6EBF6279}"/>
            </a:ext>
          </a:extLst>
        </xdr:cNvPr>
        <xdr:cNvCxnSpPr/>
      </xdr:nvCxnSpPr>
      <xdr:spPr>
        <a:xfrm>
          <a:off x="9380220" y="4396740"/>
          <a:ext cx="7620" cy="1630680"/>
        </a:xfrm>
        <a:prstGeom prst="line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655320</xdr:colOff>
      <xdr:row>6</xdr:row>
      <xdr:rowOff>15240</xdr:rowOff>
    </xdr:from>
    <xdr:to>
      <xdr:col>11</xdr:col>
      <xdr:colOff>660672</xdr:colOff>
      <xdr:row>14</xdr:row>
      <xdr:rowOff>38100</xdr:rowOff>
    </xdr:to>
    <xdr:cxnSp macro="">
      <xdr:nvCxnSpPr>
        <xdr:cNvPr id="12" name="Conector recto 11">
          <a:extLst>
            <a:ext uri="{FF2B5EF4-FFF2-40B4-BE49-F238E27FC236}">
              <a16:creationId xmlns:a16="http://schemas.microsoft.com/office/drawing/2014/main" id="{8972085C-4621-4ABC-8F25-E1F8AAF2EE90}"/>
            </a:ext>
          </a:extLst>
        </xdr:cNvPr>
        <xdr:cNvCxnSpPr/>
      </xdr:nvCxnSpPr>
      <xdr:spPr>
        <a:xfrm>
          <a:off x="9372600" y="1028700"/>
          <a:ext cx="5352" cy="1447800"/>
        </a:xfrm>
        <a:prstGeom prst="line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1398</xdr:colOff>
      <xdr:row>40</xdr:row>
      <xdr:rowOff>22860</xdr:rowOff>
    </xdr:from>
    <xdr:to>
      <xdr:col>15</xdr:col>
      <xdr:colOff>22860</xdr:colOff>
      <xdr:row>55</xdr:row>
      <xdr:rowOff>15240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5CF12598-D260-44C2-991E-459FBB0630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133718" y="6926580"/>
          <a:ext cx="4776342" cy="2613660"/>
        </a:xfrm>
        <a:prstGeom prst="rect">
          <a:avLst/>
        </a:prstGeom>
      </xdr:spPr>
    </xdr:pic>
    <xdr:clientData/>
  </xdr:twoCellAnchor>
  <xdr:twoCellAnchor editAs="oneCell">
    <xdr:from>
      <xdr:col>0</xdr:col>
      <xdr:colOff>769620</xdr:colOff>
      <xdr:row>50</xdr:row>
      <xdr:rowOff>15240</xdr:rowOff>
    </xdr:from>
    <xdr:to>
      <xdr:col>8</xdr:col>
      <xdr:colOff>707631</xdr:colOff>
      <xdr:row>55</xdr:row>
      <xdr:rowOff>64938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F863171B-442F-40E5-9CC9-54A2B7D0B6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69620" y="8686800"/>
          <a:ext cx="6277851" cy="887898"/>
        </a:xfrm>
        <a:prstGeom prst="rect">
          <a:avLst/>
        </a:prstGeom>
      </xdr:spPr>
    </xdr:pic>
    <xdr:clientData/>
  </xdr:twoCellAnchor>
  <xdr:twoCellAnchor>
    <xdr:from>
      <xdr:col>11</xdr:col>
      <xdr:colOff>778638</xdr:colOff>
      <xdr:row>41</xdr:row>
      <xdr:rowOff>91440</xdr:rowOff>
    </xdr:from>
    <xdr:to>
      <xdr:col>12</xdr:col>
      <xdr:colOff>0</xdr:colOff>
      <xdr:row>52</xdr:row>
      <xdr:rowOff>91440</xdr:rowOff>
    </xdr:to>
    <xdr:cxnSp macro="">
      <xdr:nvCxnSpPr>
        <xdr:cNvPr id="16" name="Conector recto 15">
          <a:extLst>
            <a:ext uri="{FF2B5EF4-FFF2-40B4-BE49-F238E27FC236}">
              <a16:creationId xmlns:a16="http://schemas.microsoft.com/office/drawing/2014/main" id="{7008EB4C-409E-4458-AC67-C7E74CD293F6}"/>
            </a:ext>
          </a:extLst>
        </xdr:cNvPr>
        <xdr:cNvCxnSpPr/>
      </xdr:nvCxnSpPr>
      <xdr:spPr>
        <a:xfrm>
          <a:off x="9495918" y="7162800"/>
          <a:ext cx="13842" cy="1950720"/>
        </a:xfrm>
        <a:prstGeom prst="line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6</xdr:row>
      <xdr:rowOff>0</xdr:rowOff>
    </xdr:from>
    <xdr:to>
      <xdr:col>4</xdr:col>
      <xdr:colOff>777148</xdr:colOff>
      <xdr:row>8</xdr:row>
      <xdr:rowOff>41976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1157FB7-DA49-45C8-B704-93FF9D143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69920" y="1013460"/>
          <a:ext cx="777148" cy="377256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</xdr:colOff>
      <xdr:row>5</xdr:row>
      <xdr:rowOff>101307</xdr:rowOff>
    </xdr:from>
    <xdr:to>
      <xdr:col>14</xdr:col>
      <xdr:colOff>7620</xdr:colOff>
      <xdr:row>13</xdr:row>
      <xdr:rowOff>152400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C8607E6-B9B2-4FAC-AF51-4E1631C000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47560" y="939507"/>
          <a:ext cx="3954780" cy="1491273"/>
        </a:xfrm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8</xdr:row>
      <xdr:rowOff>129540</xdr:rowOff>
    </xdr:from>
    <xdr:to>
      <xdr:col>8</xdr:col>
      <xdr:colOff>678181</xdr:colOff>
      <xdr:row>13</xdr:row>
      <xdr:rowOff>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4DC9E6E-778A-402B-B2C5-6031848AA5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69921" y="1478280"/>
          <a:ext cx="3848100" cy="8001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51"/>
  <sheetViews>
    <sheetView tabSelected="1" topLeftCell="B1" workbookViewId="0">
      <pane ySplit="1" topLeftCell="A2" activePane="bottomLeft" state="frozen"/>
      <selection pane="bottomLeft" activeCell="H15" sqref="H15"/>
    </sheetView>
  </sheetViews>
  <sheetFormatPr baseColWidth="10" defaultColWidth="12.6640625" defaultRowHeight="15.75" customHeight="1" x14ac:dyDescent="0.25"/>
  <cols>
    <col min="1" max="1" width="4.6640625" hidden="1" customWidth="1"/>
    <col min="2" max="2" width="12.88671875" customWidth="1"/>
    <col min="3" max="3" width="10.33203125" customWidth="1"/>
    <col min="4" max="4" width="15.5546875" customWidth="1"/>
    <col min="5" max="5" width="12.88671875" customWidth="1"/>
    <col min="6" max="6" width="15.77734375" customWidth="1"/>
    <col min="7" max="7" width="34.6640625" customWidth="1"/>
    <col min="8" max="8" width="18.88671875" customWidth="1"/>
    <col min="9" max="9" width="20.88671875" customWidth="1"/>
    <col min="10" max="10" width="24.5546875" customWidth="1"/>
    <col min="11" max="17" width="18.88671875" customWidth="1"/>
  </cols>
  <sheetData>
    <row r="1" spans="1:12" ht="79.8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72" t="s">
        <v>10</v>
      </c>
      <c r="L1" s="4"/>
    </row>
    <row r="2" spans="1:12" ht="13.2" x14ac:dyDescent="0.25">
      <c r="A2" s="1">
        <v>45440.558207187496</v>
      </c>
      <c r="B2" s="2">
        <v>21</v>
      </c>
      <c r="C2" s="2" t="s">
        <v>18</v>
      </c>
      <c r="D2" s="2" t="s">
        <v>19</v>
      </c>
      <c r="E2" s="2" t="s">
        <v>26</v>
      </c>
      <c r="F2" s="2" t="s">
        <v>29</v>
      </c>
      <c r="G2" s="2" t="s">
        <v>15</v>
      </c>
      <c r="H2" s="2" t="s">
        <v>25</v>
      </c>
      <c r="I2" s="2" t="s">
        <v>16</v>
      </c>
      <c r="J2" s="2" t="s">
        <v>17</v>
      </c>
      <c r="K2" s="85">
        <v>103</v>
      </c>
    </row>
    <row r="3" spans="1:12" ht="13.2" x14ac:dyDescent="0.25">
      <c r="A3" s="1">
        <v>45440.522298553245</v>
      </c>
      <c r="B3" s="2">
        <v>20</v>
      </c>
      <c r="C3" s="2" t="s">
        <v>18</v>
      </c>
      <c r="D3" s="2" t="s">
        <v>12</v>
      </c>
      <c r="E3" s="2" t="s">
        <v>26</v>
      </c>
      <c r="F3" s="2" t="s">
        <v>14</v>
      </c>
      <c r="G3" s="2" t="s">
        <v>27</v>
      </c>
      <c r="H3" s="2" t="s">
        <v>25</v>
      </c>
      <c r="I3" s="2" t="s">
        <v>25</v>
      </c>
      <c r="J3" s="2" t="s">
        <v>17</v>
      </c>
      <c r="K3" s="85">
        <v>120</v>
      </c>
    </row>
    <row r="4" spans="1:12" ht="13.2" x14ac:dyDescent="0.25">
      <c r="A4" s="1">
        <v>45440.577779907406</v>
      </c>
      <c r="B4" s="2">
        <v>33</v>
      </c>
      <c r="C4" s="2" t="s">
        <v>18</v>
      </c>
      <c r="D4" s="2" t="s">
        <v>19</v>
      </c>
      <c r="E4" s="2" t="s">
        <v>13</v>
      </c>
      <c r="F4" s="2" t="s">
        <v>14</v>
      </c>
      <c r="G4" s="2" t="s">
        <v>21</v>
      </c>
      <c r="H4" s="2" t="s">
        <v>25</v>
      </c>
      <c r="I4" s="2" t="s">
        <v>16</v>
      </c>
      <c r="J4" s="2" t="s">
        <v>17</v>
      </c>
      <c r="K4" s="85">
        <v>150</v>
      </c>
    </row>
    <row r="5" spans="1:12" ht="13.2" x14ac:dyDescent="0.25">
      <c r="A5" s="1">
        <v>45440.460112824076</v>
      </c>
      <c r="B5" s="2">
        <v>26</v>
      </c>
      <c r="C5" s="2" t="s">
        <v>18</v>
      </c>
      <c r="D5" s="2" t="s">
        <v>12</v>
      </c>
      <c r="E5" s="2" t="s">
        <v>13</v>
      </c>
      <c r="F5" s="2" t="s">
        <v>14</v>
      </c>
      <c r="G5" s="2" t="s">
        <v>27</v>
      </c>
      <c r="H5" s="2" t="s">
        <v>25</v>
      </c>
      <c r="I5" s="2" t="s">
        <v>16</v>
      </c>
      <c r="J5" s="2" t="s">
        <v>17</v>
      </c>
      <c r="K5" s="85">
        <v>210</v>
      </c>
    </row>
    <row r="6" spans="1:12" ht="13.2" x14ac:dyDescent="0.25">
      <c r="A6" s="1">
        <v>45440.531536481481</v>
      </c>
      <c r="B6" s="2">
        <v>19</v>
      </c>
      <c r="C6" s="2" t="s">
        <v>18</v>
      </c>
      <c r="D6" s="2" t="s">
        <v>12</v>
      </c>
      <c r="E6" s="2" t="s">
        <v>13</v>
      </c>
      <c r="F6" s="2" t="s">
        <v>20</v>
      </c>
      <c r="G6" s="2" t="s">
        <v>15</v>
      </c>
      <c r="H6" s="2" t="s">
        <v>25</v>
      </c>
      <c r="I6" s="2" t="s">
        <v>25</v>
      </c>
      <c r="J6" s="2" t="s">
        <v>17</v>
      </c>
      <c r="K6" s="85">
        <v>220</v>
      </c>
    </row>
    <row r="7" spans="1:12" ht="13.2" x14ac:dyDescent="0.25">
      <c r="A7" s="1">
        <v>45440.815216689814</v>
      </c>
      <c r="B7" s="2">
        <v>21</v>
      </c>
      <c r="C7" s="2" t="s">
        <v>18</v>
      </c>
      <c r="D7" s="2" t="s">
        <v>19</v>
      </c>
      <c r="E7" s="2" t="s">
        <v>13</v>
      </c>
      <c r="F7" s="2" t="s">
        <v>32</v>
      </c>
      <c r="G7" s="2" t="s">
        <v>21</v>
      </c>
      <c r="H7" s="2" t="s">
        <v>25</v>
      </c>
      <c r="I7" s="2" t="s">
        <v>16</v>
      </c>
      <c r="J7" s="2" t="s">
        <v>17</v>
      </c>
      <c r="K7" s="85">
        <v>290</v>
      </c>
    </row>
    <row r="8" spans="1:12" ht="13.2" x14ac:dyDescent="0.25">
      <c r="A8" s="1">
        <v>45440.452819942133</v>
      </c>
      <c r="B8" s="2">
        <v>19</v>
      </c>
      <c r="C8" s="2" t="s">
        <v>18</v>
      </c>
      <c r="D8" s="2" t="s">
        <v>12</v>
      </c>
      <c r="E8" s="2" t="s">
        <v>26</v>
      </c>
      <c r="F8" s="2" t="s">
        <v>20</v>
      </c>
      <c r="G8" s="2" t="s">
        <v>15</v>
      </c>
      <c r="H8" s="2" t="s">
        <v>25</v>
      </c>
      <c r="I8" s="2" t="s">
        <v>16</v>
      </c>
      <c r="J8" s="2" t="s">
        <v>17</v>
      </c>
      <c r="K8" s="85">
        <v>300</v>
      </c>
    </row>
    <row r="9" spans="1:12" ht="13.2" x14ac:dyDescent="0.25">
      <c r="A9" s="1">
        <v>45440.629951423616</v>
      </c>
      <c r="B9" s="2">
        <v>20</v>
      </c>
      <c r="C9" s="2" t="s">
        <v>18</v>
      </c>
      <c r="D9" s="2" t="s">
        <v>19</v>
      </c>
      <c r="E9" s="2" t="s">
        <v>13</v>
      </c>
      <c r="F9" s="2" t="s">
        <v>14</v>
      </c>
      <c r="G9" s="2" t="s">
        <v>15</v>
      </c>
      <c r="H9" s="2" t="s">
        <v>25</v>
      </c>
      <c r="I9" s="2" t="s">
        <v>25</v>
      </c>
      <c r="J9" s="2" t="s">
        <v>17</v>
      </c>
      <c r="K9" s="85">
        <v>370</v>
      </c>
    </row>
    <row r="10" spans="1:12" ht="13.2" x14ac:dyDescent="0.25">
      <c r="A10" s="1">
        <v>45440.660145752314</v>
      </c>
      <c r="B10" s="2">
        <v>30</v>
      </c>
      <c r="C10" s="2" t="s">
        <v>18</v>
      </c>
      <c r="D10" s="2" t="s">
        <v>12</v>
      </c>
      <c r="E10" s="2" t="s">
        <v>13</v>
      </c>
      <c r="F10" s="2" t="s">
        <v>20</v>
      </c>
      <c r="G10" s="2" t="s">
        <v>27</v>
      </c>
      <c r="H10" s="2" t="s">
        <v>25</v>
      </c>
      <c r="I10" s="2" t="s">
        <v>16</v>
      </c>
      <c r="J10" s="2" t="s">
        <v>17</v>
      </c>
      <c r="K10" s="85">
        <v>500</v>
      </c>
    </row>
    <row r="11" spans="1:12" ht="13.2" x14ac:dyDescent="0.25">
      <c r="A11" s="1">
        <v>45440.772125868054</v>
      </c>
      <c r="B11" s="2">
        <v>20</v>
      </c>
      <c r="C11" s="2" t="s">
        <v>18</v>
      </c>
      <c r="D11" s="2" t="s">
        <v>12</v>
      </c>
      <c r="E11" s="2" t="s">
        <v>13</v>
      </c>
      <c r="F11" s="2" t="s">
        <v>20</v>
      </c>
      <c r="G11" s="2" t="s">
        <v>15</v>
      </c>
      <c r="H11" s="2" t="s">
        <v>16</v>
      </c>
      <c r="I11" s="2" t="s">
        <v>16</v>
      </c>
      <c r="J11" s="2" t="s">
        <v>17</v>
      </c>
      <c r="K11" s="85">
        <v>100</v>
      </c>
    </row>
    <row r="12" spans="1:12" ht="13.2" x14ac:dyDescent="0.25">
      <c r="A12" s="1">
        <v>45441.410774953707</v>
      </c>
      <c r="B12" s="2">
        <v>19</v>
      </c>
      <c r="C12" s="2" t="s">
        <v>18</v>
      </c>
      <c r="D12" s="2" t="s">
        <v>12</v>
      </c>
      <c r="E12" s="2" t="s">
        <v>13</v>
      </c>
      <c r="F12" s="2" t="s">
        <v>20</v>
      </c>
      <c r="G12" s="2" t="s">
        <v>15</v>
      </c>
      <c r="H12" s="2" t="s">
        <v>16</v>
      </c>
      <c r="I12" s="2" t="s">
        <v>25</v>
      </c>
      <c r="J12" s="2" t="s">
        <v>17</v>
      </c>
      <c r="K12" s="85">
        <v>120</v>
      </c>
    </row>
    <row r="13" spans="1:12" ht="13.2" x14ac:dyDescent="0.25">
      <c r="A13" s="1">
        <v>45440.891382708331</v>
      </c>
      <c r="B13" s="2">
        <v>26</v>
      </c>
      <c r="C13" s="2" t="s">
        <v>18</v>
      </c>
      <c r="D13" s="2" t="s">
        <v>12</v>
      </c>
      <c r="E13" s="2" t="s">
        <v>13</v>
      </c>
      <c r="F13" s="2" t="s">
        <v>20</v>
      </c>
      <c r="G13" s="2" t="s">
        <v>23</v>
      </c>
      <c r="H13" s="2" t="s">
        <v>16</v>
      </c>
      <c r="I13" s="2" t="s">
        <v>16</v>
      </c>
      <c r="J13" s="2" t="s">
        <v>17</v>
      </c>
      <c r="K13" s="85">
        <v>200</v>
      </c>
    </row>
    <row r="14" spans="1:12" ht="13.2" x14ac:dyDescent="0.25">
      <c r="A14" s="1">
        <v>45440.599234918976</v>
      </c>
      <c r="B14" s="2">
        <v>19</v>
      </c>
      <c r="C14" s="2" t="s">
        <v>18</v>
      </c>
      <c r="D14" s="2" t="s">
        <v>22</v>
      </c>
      <c r="E14" s="2" t="s">
        <v>26</v>
      </c>
      <c r="F14" s="2" t="s">
        <v>20</v>
      </c>
      <c r="G14" s="2" t="s">
        <v>15</v>
      </c>
      <c r="H14" s="2" t="s">
        <v>16</v>
      </c>
      <c r="I14" s="2" t="s">
        <v>16</v>
      </c>
      <c r="J14" s="2" t="s">
        <v>17</v>
      </c>
      <c r="K14" s="85">
        <v>250</v>
      </c>
    </row>
    <row r="15" spans="1:12" ht="13.2" x14ac:dyDescent="0.25">
      <c r="A15" s="1">
        <v>45440.445147141203</v>
      </c>
      <c r="B15" s="2">
        <v>19</v>
      </c>
      <c r="C15" s="2" t="s">
        <v>18</v>
      </c>
      <c r="D15" s="2" t="s">
        <v>22</v>
      </c>
      <c r="E15" s="2" t="s">
        <v>13</v>
      </c>
      <c r="F15" s="2" t="s">
        <v>14</v>
      </c>
      <c r="G15" s="2" t="s">
        <v>15</v>
      </c>
      <c r="H15" s="2" t="s">
        <v>16</v>
      </c>
      <c r="I15" s="2" t="s">
        <v>16</v>
      </c>
      <c r="J15" s="2" t="s">
        <v>17</v>
      </c>
      <c r="K15" s="85">
        <v>350</v>
      </c>
    </row>
    <row r="16" spans="1:12" ht="13.2" x14ac:dyDescent="0.25">
      <c r="A16" s="1">
        <v>45440.444615949076</v>
      </c>
      <c r="B16" s="2">
        <v>24</v>
      </c>
      <c r="C16" s="2" t="s">
        <v>18</v>
      </c>
      <c r="D16" s="2" t="s">
        <v>19</v>
      </c>
      <c r="E16" s="2" t="s">
        <v>13</v>
      </c>
      <c r="F16" s="2" t="s">
        <v>20</v>
      </c>
      <c r="G16" s="2" t="s">
        <v>21</v>
      </c>
      <c r="H16" s="2" t="s">
        <v>16</v>
      </c>
      <c r="I16" s="2" t="s">
        <v>16</v>
      </c>
      <c r="J16" s="2" t="s">
        <v>17</v>
      </c>
      <c r="K16" s="85">
        <v>400</v>
      </c>
    </row>
    <row r="17" spans="1:11" ht="13.2" x14ac:dyDescent="0.25">
      <c r="A17" s="1">
        <v>45440.773410624999</v>
      </c>
      <c r="B17" s="2">
        <v>24</v>
      </c>
      <c r="C17" s="2" t="s">
        <v>18</v>
      </c>
      <c r="D17" s="2" t="s">
        <v>12</v>
      </c>
      <c r="E17" s="2" t="s">
        <v>26</v>
      </c>
      <c r="F17" s="2" t="s">
        <v>20</v>
      </c>
      <c r="G17" s="2" t="s">
        <v>23</v>
      </c>
      <c r="H17" s="2" t="s">
        <v>16</v>
      </c>
      <c r="I17" s="2" t="s">
        <v>25</v>
      </c>
      <c r="J17" s="2" t="s">
        <v>17</v>
      </c>
      <c r="K17" s="85">
        <v>500</v>
      </c>
    </row>
    <row r="18" spans="1:11" ht="13.2" x14ac:dyDescent="0.25">
      <c r="A18" s="1">
        <v>45440.598051817127</v>
      </c>
      <c r="B18" s="2">
        <v>27</v>
      </c>
      <c r="C18" s="2" t="s">
        <v>18</v>
      </c>
      <c r="D18" s="2" t="s">
        <v>12</v>
      </c>
      <c r="E18" s="2" t="s">
        <v>13</v>
      </c>
      <c r="F18" s="2" t="s">
        <v>14</v>
      </c>
      <c r="G18" s="2" t="s">
        <v>23</v>
      </c>
      <c r="H18" s="2" t="s">
        <v>25</v>
      </c>
      <c r="I18" s="2" t="s">
        <v>16</v>
      </c>
      <c r="J18" s="2" t="s">
        <v>28</v>
      </c>
      <c r="K18" s="85">
        <v>350</v>
      </c>
    </row>
    <row r="19" spans="1:11" ht="13.2" x14ac:dyDescent="0.25">
      <c r="A19" s="1">
        <v>45440.60897021991</v>
      </c>
      <c r="B19" s="2">
        <v>22</v>
      </c>
      <c r="C19" s="2" t="s">
        <v>18</v>
      </c>
      <c r="D19" s="2" t="s">
        <v>12</v>
      </c>
      <c r="E19" s="2" t="s">
        <v>13</v>
      </c>
      <c r="F19" s="2" t="s">
        <v>14</v>
      </c>
      <c r="G19" s="2" t="s">
        <v>21</v>
      </c>
      <c r="H19" s="2" t="s">
        <v>25</v>
      </c>
      <c r="I19" s="2" t="s">
        <v>16</v>
      </c>
      <c r="J19" s="2" t="s">
        <v>28</v>
      </c>
      <c r="K19" s="85">
        <v>400</v>
      </c>
    </row>
    <row r="20" spans="1:11" ht="13.2" x14ac:dyDescent="0.25">
      <c r="A20" s="1">
        <v>45440.560427870369</v>
      </c>
      <c r="B20" s="2">
        <v>26</v>
      </c>
      <c r="C20" s="2" t="s">
        <v>18</v>
      </c>
      <c r="D20" s="2" t="s">
        <v>19</v>
      </c>
      <c r="E20" s="2" t="s">
        <v>13</v>
      </c>
      <c r="F20" s="2" t="s">
        <v>20</v>
      </c>
      <c r="G20" s="2" t="s">
        <v>27</v>
      </c>
      <c r="H20" s="2" t="s">
        <v>16</v>
      </c>
      <c r="I20" s="2" t="s">
        <v>16</v>
      </c>
      <c r="J20" s="2" t="s">
        <v>28</v>
      </c>
      <c r="K20" s="85">
        <v>100</v>
      </c>
    </row>
    <row r="21" spans="1:11" ht="13.2" x14ac:dyDescent="0.25">
      <c r="A21" s="1">
        <v>45440.514473888892</v>
      </c>
      <c r="B21" s="2">
        <v>29</v>
      </c>
      <c r="C21" s="2" t="s">
        <v>18</v>
      </c>
      <c r="D21" s="2" t="s">
        <v>12</v>
      </c>
      <c r="E21" s="2" t="s">
        <v>13</v>
      </c>
      <c r="F21" s="2" t="s">
        <v>20</v>
      </c>
      <c r="G21" s="2" t="s">
        <v>27</v>
      </c>
      <c r="H21" s="2" t="s">
        <v>16</v>
      </c>
      <c r="I21" s="2" t="s">
        <v>16</v>
      </c>
      <c r="J21" s="2" t="s">
        <v>28</v>
      </c>
      <c r="K21" s="85">
        <v>123</v>
      </c>
    </row>
    <row r="22" spans="1:11" ht="13.2" x14ac:dyDescent="0.25">
      <c r="A22" s="1">
        <v>45440.509488750002</v>
      </c>
      <c r="B22" s="2">
        <v>22</v>
      </c>
      <c r="C22" s="2" t="s">
        <v>18</v>
      </c>
      <c r="D22" s="2" t="s">
        <v>12</v>
      </c>
      <c r="E22" s="2" t="s">
        <v>13</v>
      </c>
      <c r="F22" s="2" t="s">
        <v>20</v>
      </c>
      <c r="G22" s="2" t="s">
        <v>23</v>
      </c>
      <c r="H22" s="2" t="s">
        <v>16</v>
      </c>
      <c r="I22" s="2" t="s">
        <v>16</v>
      </c>
      <c r="J22" s="2" t="s">
        <v>28</v>
      </c>
      <c r="K22" s="85">
        <v>137</v>
      </c>
    </row>
    <row r="23" spans="1:11" ht="13.2" x14ac:dyDescent="0.25">
      <c r="A23" s="1">
        <v>45440.512837488423</v>
      </c>
      <c r="B23" s="2">
        <v>22</v>
      </c>
      <c r="C23" s="2" t="s">
        <v>18</v>
      </c>
      <c r="D23" s="2" t="s">
        <v>12</v>
      </c>
      <c r="E23" s="2" t="s">
        <v>13</v>
      </c>
      <c r="F23" s="2" t="s">
        <v>20</v>
      </c>
      <c r="G23" s="69" t="s">
        <v>27</v>
      </c>
      <c r="H23" s="2" t="s">
        <v>16</v>
      </c>
      <c r="I23" s="2" t="s">
        <v>16</v>
      </c>
      <c r="J23" s="2" t="s">
        <v>28</v>
      </c>
      <c r="K23" s="85">
        <v>150</v>
      </c>
    </row>
    <row r="24" spans="1:11" ht="13.2" x14ac:dyDescent="0.25">
      <c r="A24" s="1">
        <v>45440.565284062497</v>
      </c>
      <c r="B24" s="2">
        <v>19</v>
      </c>
      <c r="C24" s="2" t="s">
        <v>18</v>
      </c>
      <c r="D24" s="2" t="s">
        <v>12</v>
      </c>
      <c r="E24" s="2" t="s">
        <v>13</v>
      </c>
      <c r="F24" s="2" t="s">
        <v>14</v>
      </c>
      <c r="G24" s="2" t="s">
        <v>21</v>
      </c>
      <c r="H24" s="2" t="s">
        <v>16</v>
      </c>
      <c r="I24" s="2" t="s">
        <v>16</v>
      </c>
      <c r="J24" s="2" t="s">
        <v>28</v>
      </c>
      <c r="K24" s="85">
        <v>500</v>
      </c>
    </row>
    <row r="25" spans="1:11" ht="13.2" x14ac:dyDescent="0.25">
      <c r="A25" s="1">
        <v>45440.523254270833</v>
      </c>
      <c r="B25" s="2">
        <v>20</v>
      </c>
      <c r="C25" s="2" t="s">
        <v>18</v>
      </c>
      <c r="D25" s="2" t="s">
        <v>19</v>
      </c>
      <c r="E25" s="2" t="s">
        <v>13</v>
      </c>
      <c r="F25" s="2" t="s">
        <v>20</v>
      </c>
      <c r="G25" s="2" t="s">
        <v>23</v>
      </c>
      <c r="H25" s="2" t="s">
        <v>25</v>
      </c>
      <c r="I25" s="2" t="s">
        <v>16</v>
      </c>
      <c r="J25" s="2" t="s">
        <v>24</v>
      </c>
      <c r="K25" s="85">
        <v>150</v>
      </c>
    </row>
    <row r="26" spans="1:11" ht="13.2" x14ac:dyDescent="0.25">
      <c r="A26" s="1">
        <v>45440.52859962963</v>
      </c>
      <c r="B26" s="2">
        <v>23</v>
      </c>
      <c r="C26" s="2" t="s">
        <v>18</v>
      </c>
      <c r="D26" s="2" t="s">
        <v>19</v>
      </c>
      <c r="E26" s="2" t="s">
        <v>13</v>
      </c>
      <c r="F26" s="2" t="s">
        <v>20</v>
      </c>
      <c r="G26" s="2" t="s">
        <v>23</v>
      </c>
      <c r="H26" s="2" t="s">
        <v>25</v>
      </c>
      <c r="I26" s="2" t="s">
        <v>25</v>
      </c>
      <c r="J26" s="2" t="s">
        <v>24</v>
      </c>
      <c r="K26" s="85">
        <v>260</v>
      </c>
    </row>
    <row r="27" spans="1:11" ht="13.2" x14ac:dyDescent="0.25">
      <c r="A27" s="1">
        <v>45440.447708587963</v>
      </c>
      <c r="B27" s="2">
        <v>22</v>
      </c>
      <c r="C27" s="2" t="s">
        <v>18</v>
      </c>
      <c r="D27" s="2" t="s">
        <v>19</v>
      </c>
      <c r="E27" s="2" t="s">
        <v>13</v>
      </c>
      <c r="F27" s="2" t="s">
        <v>20</v>
      </c>
      <c r="G27" s="2" t="s">
        <v>23</v>
      </c>
      <c r="H27" s="2" t="s">
        <v>25</v>
      </c>
      <c r="I27" s="2" t="s">
        <v>16</v>
      </c>
      <c r="J27" s="2" t="s">
        <v>24</v>
      </c>
      <c r="K27" s="85">
        <v>280</v>
      </c>
    </row>
    <row r="28" spans="1:11" ht="13.2" x14ac:dyDescent="0.25">
      <c r="A28" s="1">
        <v>45440.602030983791</v>
      </c>
      <c r="B28" s="2">
        <v>19</v>
      </c>
      <c r="C28" s="2" t="s">
        <v>18</v>
      </c>
      <c r="D28" s="2" t="s">
        <v>19</v>
      </c>
      <c r="E28" s="2" t="s">
        <v>13</v>
      </c>
      <c r="F28" s="2" t="s">
        <v>20</v>
      </c>
      <c r="G28" s="2" t="s">
        <v>23</v>
      </c>
      <c r="H28" s="2" t="s">
        <v>25</v>
      </c>
      <c r="I28" s="2" t="s">
        <v>16</v>
      </c>
      <c r="J28" s="2" t="s">
        <v>24</v>
      </c>
      <c r="K28" s="85">
        <v>480</v>
      </c>
    </row>
    <row r="29" spans="1:11" ht="13.2" x14ac:dyDescent="0.25">
      <c r="A29" s="1">
        <v>45440.459688877316</v>
      </c>
      <c r="B29" s="2">
        <v>23</v>
      </c>
      <c r="C29" s="2" t="s">
        <v>18</v>
      </c>
      <c r="D29" s="2" t="s">
        <v>19</v>
      </c>
      <c r="E29" s="2" t="s">
        <v>13</v>
      </c>
      <c r="F29" s="2" t="s">
        <v>20</v>
      </c>
      <c r="G29" s="2" t="s">
        <v>23</v>
      </c>
      <c r="H29" s="2" t="s">
        <v>16</v>
      </c>
      <c r="I29" s="2" t="s">
        <v>16</v>
      </c>
      <c r="J29" s="2" t="s">
        <v>24</v>
      </c>
      <c r="K29" s="85">
        <v>180</v>
      </c>
    </row>
    <row r="30" spans="1:11" ht="13.2" x14ac:dyDescent="0.25">
      <c r="A30" s="1">
        <v>45440.530831747688</v>
      </c>
      <c r="B30" s="2">
        <v>28</v>
      </c>
      <c r="C30" s="2" t="s">
        <v>18</v>
      </c>
      <c r="D30" s="2" t="s">
        <v>19</v>
      </c>
      <c r="E30" s="2" t="s">
        <v>13</v>
      </c>
      <c r="F30" s="2" t="s">
        <v>14</v>
      </c>
      <c r="G30" s="2" t="s">
        <v>23</v>
      </c>
      <c r="H30" s="2" t="s">
        <v>16</v>
      </c>
      <c r="I30" s="2" t="s">
        <v>16</v>
      </c>
      <c r="J30" s="2" t="s">
        <v>24</v>
      </c>
      <c r="K30" s="85">
        <v>220</v>
      </c>
    </row>
    <row r="31" spans="1:11" ht="13.2" x14ac:dyDescent="0.25">
      <c r="A31" s="1">
        <v>45440.446893726854</v>
      </c>
      <c r="B31" s="2">
        <v>19</v>
      </c>
      <c r="C31" s="2" t="s">
        <v>18</v>
      </c>
      <c r="D31" s="2" t="s">
        <v>19</v>
      </c>
      <c r="E31" s="2" t="s">
        <v>13</v>
      </c>
      <c r="F31" s="2" t="s">
        <v>20</v>
      </c>
      <c r="G31" s="2" t="s">
        <v>23</v>
      </c>
      <c r="H31" s="2" t="s">
        <v>16</v>
      </c>
      <c r="I31" s="2" t="s">
        <v>16</v>
      </c>
      <c r="J31" s="2" t="s">
        <v>24</v>
      </c>
      <c r="K31" s="85">
        <v>220</v>
      </c>
    </row>
    <row r="32" spans="1:11" ht="13.2" x14ac:dyDescent="0.25">
      <c r="A32" s="1">
        <v>45440.506410405098</v>
      </c>
      <c r="B32" s="2">
        <v>33</v>
      </c>
      <c r="C32" s="2" t="s">
        <v>18</v>
      </c>
      <c r="D32" s="2" t="s">
        <v>12</v>
      </c>
      <c r="E32" s="2" t="s">
        <v>13</v>
      </c>
      <c r="F32" s="2" t="s">
        <v>20</v>
      </c>
      <c r="G32" s="2" t="s">
        <v>27</v>
      </c>
      <c r="H32" s="2" t="s">
        <v>16</v>
      </c>
      <c r="I32" s="2" t="s">
        <v>16</v>
      </c>
      <c r="J32" s="2" t="s">
        <v>24</v>
      </c>
      <c r="K32" s="85">
        <v>400</v>
      </c>
    </row>
    <row r="33" spans="1:11" ht="13.2" x14ac:dyDescent="0.25">
      <c r="A33" s="1">
        <v>45440.611303506943</v>
      </c>
      <c r="B33" s="2">
        <v>24</v>
      </c>
      <c r="C33" s="2" t="s">
        <v>11</v>
      </c>
      <c r="D33" s="2" t="s">
        <v>12</v>
      </c>
      <c r="E33" s="2" t="s">
        <v>26</v>
      </c>
      <c r="F33" s="2" t="s">
        <v>29</v>
      </c>
      <c r="G33" s="2" t="s">
        <v>15</v>
      </c>
      <c r="H33" s="2" t="s">
        <v>25</v>
      </c>
      <c r="I33" s="2" t="s">
        <v>25</v>
      </c>
      <c r="J33" s="2" t="s">
        <v>17</v>
      </c>
      <c r="K33" s="85">
        <v>250</v>
      </c>
    </row>
    <row r="34" spans="1:11" ht="13.2" x14ac:dyDescent="0.25">
      <c r="A34" s="1">
        <v>45440.609852048612</v>
      </c>
      <c r="B34" s="2">
        <v>20</v>
      </c>
      <c r="C34" s="2" t="s">
        <v>11</v>
      </c>
      <c r="D34" s="2" t="s">
        <v>19</v>
      </c>
      <c r="E34" s="2" t="s">
        <v>26</v>
      </c>
      <c r="F34" s="2" t="s">
        <v>14</v>
      </c>
      <c r="G34" s="2" t="s">
        <v>15</v>
      </c>
      <c r="H34" s="2" t="s">
        <v>25</v>
      </c>
      <c r="I34" s="2" t="s">
        <v>25</v>
      </c>
      <c r="J34" s="2" t="s">
        <v>17</v>
      </c>
      <c r="K34" s="85">
        <v>300</v>
      </c>
    </row>
    <row r="35" spans="1:11" ht="13.2" x14ac:dyDescent="0.25">
      <c r="A35" s="1">
        <v>45440.809295381943</v>
      </c>
      <c r="B35" s="2">
        <v>19</v>
      </c>
      <c r="C35" s="2" t="s">
        <v>11</v>
      </c>
      <c r="D35" s="2" t="s">
        <v>12</v>
      </c>
      <c r="E35" s="2" t="s">
        <v>26</v>
      </c>
      <c r="F35" s="2" t="s">
        <v>14</v>
      </c>
      <c r="G35" s="2" t="s">
        <v>15</v>
      </c>
      <c r="H35" s="2" t="s">
        <v>25</v>
      </c>
      <c r="I35" s="2" t="s">
        <v>25</v>
      </c>
      <c r="J35" s="2" t="s">
        <v>17</v>
      </c>
      <c r="K35" s="85">
        <v>350</v>
      </c>
    </row>
    <row r="36" spans="1:11" ht="13.2" x14ac:dyDescent="0.25">
      <c r="A36" s="1">
        <v>45440.521931666663</v>
      </c>
      <c r="B36" s="2">
        <v>19</v>
      </c>
      <c r="C36" s="2" t="s">
        <v>11</v>
      </c>
      <c r="D36" s="2" t="s">
        <v>12</v>
      </c>
      <c r="E36" s="2" t="s">
        <v>13</v>
      </c>
      <c r="F36" s="2" t="s">
        <v>14</v>
      </c>
      <c r="G36" s="2" t="s">
        <v>27</v>
      </c>
      <c r="H36" s="2" t="s">
        <v>16</v>
      </c>
      <c r="I36" s="2" t="s">
        <v>16</v>
      </c>
      <c r="J36" s="2" t="s">
        <v>17</v>
      </c>
      <c r="K36" s="85">
        <v>115</v>
      </c>
    </row>
    <row r="37" spans="1:11" ht="13.2" x14ac:dyDescent="0.25">
      <c r="A37" s="1">
        <v>45440.578203634257</v>
      </c>
      <c r="B37" s="2">
        <v>20</v>
      </c>
      <c r="C37" s="2" t="s">
        <v>11</v>
      </c>
      <c r="D37" s="2" t="s">
        <v>19</v>
      </c>
      <c r="E37" s="2" t="s">
        <v>13</v>
      </c>
      <c r="F37" s="2" t="s">
        <v>14</v>
      </c>
      <c r="G37" s="2" t="s">
        <v>21</v>
      </c>
      <c r="H37" s="2" t="s">
        <v>16</v>
      </c>
      <c r="I37" s="2" t="s">
        <v>25</v>
      </c>
      <c r="J37" s="2" t="s">
        <v>17</v>
      </c>
      <c r="K37" s="85">
        <v>150</v>
      </c>
    </row>
    <row r="38" spans="1:11" ht="13.2" x14ac:dyDescent="0.25">
      <c r="A38" s="1">
        <v>45440.609813842588</v>
      </c>
      <c r="B38" s="2">
        <v>23</v>
      </c>
      <c r="C38" s="2" t="s">
        <v>11</v>
      </c>
      <c r="D38" s="2" t="s">
        <v>12</v>
      </c>
      <c r="E38" s="2" t="s">
        <v>26</v>
      </c>
      <c r="F38" s="2" t="s">
        <v>29</v>
      </c>
      <c r="G38" s="2" t="s">
        <v>15</v>
      </c>
      <c r="H38" s="2" t="s">
        <v>16</v>
      </c>
      <c r="I38" s="2" t="s">
        <v>16</v>
      </c>
      <c r="J38" s="2" t="s">
        <v>17</v>
      </c>
      <c r="K38" s="85">
        <v>300</v>
      </c>
    </row>
    <row r="39" spans="1:11" ht="13.2" x14ac:dyDescent="0.25">
      <c r="A39" s="1">
        <v>45440.678673946764</v>
      </c>
      <c r="B39" s="2">
        <v>20</v>
      </c>
      <c r="C39" s="2" t="s">
        <v>11</v>
      </c>
      <c r="D39" s="2" t="s">
        <v>22</v>
      </c>
      <c r="E39" s="2" t="s">
        <v>26</v>
      </c>
      <c r="F39" s="2" t="s">
        <v>29</v>
      </c>
      <c r="G39" s="2" t="s">
        <v>15</v>
      </c>
      <c r="H39" s="2" t="s">
        <v>16</v>
      </c>
      <c r="I39" s="2" t="s">
        <v>16</v>
      </c>
      <c r="J39" s="2" t="s">
        <v>17</v>
      </c>
      <c r="K39" s="85">
        <v>420</v>
      </c>
    </row>
    <row r="40" spans="1:11" ht="13.2" x14ac:dyDescent="0.25">
      <c r="A40" s="1">
        <v>45440.442019421302</v>
      </c>
      <c r="B40" s="2">
        <v>20</v>
      </c>
      <c r="C40" s="2" t="s">
        <v>11</v>
      </c>
      <c r="D40" s="2" t="s">
        <v>12</v>
      </c>
      <c r="E40" s="2" t="s">
        <v>13</v>
      </c>
      <c r="F40" s="2" t="s">
        <v>14</v>
      </c>
      <c r="G40" s="2" t="s">
        <v>15</v>
      </c>
      <c r="H40" s="2" t="s">
        <v>16</v>
      </c>
      <c r="I40" s="2" t="s">
        <v>16</v>
      </c>
      <c r="J40" s="2" t="s">
        <v>17</v>
      </c>
      <c r="K40" s="85">
        <v>500</v>
      </c>
    </row>
    <row r="41" spans="1:11" ht="13.2" x14ac:dyDescent="0.25">
      <c r="A41" s="1">
        <v>45440.786867581017</v>
      </c>
      <c r="B41" s="2">
        <v>22</v>
      </c>
      <c r="C41" s="2" t="s">
        <v>11</v>
      </c>
      <c r="D41" s="2" t="s">
        <v>12</v>
      </c>
      <c r="E41" s="2" t="s">
        <v>13</v>
      </c>
      <c r="F41" s="2" t="s">
        <v>14</v>
      </c>
      <c r="G41" s="2" t="s">
        <v>15</v>
      </c>
      <c r="H41" s="2" t="s">
        <v>16</v>
      </c>
      <c r="I41" s="2" t="s">
        <v>25</v>
      </c>
      <c r="J41" s="2" t="s">
        <v>28</v>
      </c>
      <c r="K41" s="85">
        <v>200</v>
      </c>
    </row>
    <row r="42" spans="1:11" ht="13.2" x14ac:dyDescent="0.25">
      <c r="A42" s="1">
        <v>45440.868027835648</v>
      </c>
      <c r="B42" s="2">
        <v>25</v>
      </c>
      <c r="C42" s="2" t="s">
        <v>11</v>
      </c>
      <c r="D42" s="2" t="s">
        <v>19</v>
      </c>
      <c r="E42" s="2" t="s">
        <v>13</v>
      </c>
      <c r="F42" s="2" t="s">
        <v>30</v>
      </c>
      <c r="G42" s="2" t="s">
        <v>15</v>
      </c>
      <c r="H42" s="2" t="s">
        <v>16</v>
      </c>
      <c r="I42" s="2" t="s">
        <v>16</v>
      </c>
      <c r="J42" s="2" t="s">
        <v>28</v>
      </c>
      <c r="K42" s="85">
        <v>230</v>
      </c>
    </row>
    <row r="43" spans="1:11" ht="13.2" x14ac:dyDescent="0.25">
      <c r="A43" s="1">
        <v>45440.629215925925</v>
      </c>
      <c r="B43" s="2">
        <v>24</v>
      </c>
      <c r="C43" s="2" t="s">
        <v>11</v>
      </c>
      <c r="D43" s="2" t="s">
        <v>12</v>
      </c>
      <c r="E43" s="2" t="s">
        <v>13</v>
      </c>
      <c r="F43" s="2" t="s">
        <v>14</v>
      </c>
      <c r="G43" s="2" t="s">
        <v>27</v>
      </c>
      <c r="H43" s="2" t="s">
        <v>16</v>
      </c>
      <c r="I43" s="2" t="s">
        <v>16</v>
      </c>
      <c r="J43" s="2" t="s">
        <v>28</v>
      </c>
      <c r="K43" s="85">
        <v>250</v>
      </c>
    </row>
    <row r="44" spans="1:11" ht="13.2" x14ac:dyDescent="0.25">
      <c r="A44" s="1">
        <v>45440.656090474542</v>
      </c>
      <c r="B44" s="2">
        <v>25</v>
      </c>
      <c r="C44" s="2" t="s">
        <v>11</v>
      </c>
      <c r="D44" s="2" t="s">
        <v>12</v>
      </c>
      <c r="E44" s="2" t="s">
        <v>13</v>
      </c>
      <c r="F44" s="2" t="s">
        <v>20</v>
      </c>
      <c r="G44" s="2" t="s">
        <v>15</v>
      </c>
      <c r="H44" s="2" t="s">
        <v>16</v>
      </c>
      <c r="I44" s="2" t="s">
        <v>25</v>
      </c>
      <c r="J44" s="2" t="s">
        <v>28</v>
      </c>
      <c r="K44" s="85">
        <v>600</v>
      </c>
    </row>
    <row r="45" spans="1:11" ht="13.2" x14ac:dyDescent="0.25">
      <c r="A45" s="1">
        <v>45440.678364965279</v>
      </c>
      <c r="B45" s="2">
        <v>20</v>
      </c>
      <c r="C45" s="2" t="s">
        <v>11</v>
      </c>
      <c r="D45" s="2" t="s">
        <v>31</v>
      </c>
      <c r="E45" s="2" t="s">
        <v>26</v>
      </c>
      <c r="F45" s="2" t="s">
        <v>29</v>
      </c>
      <c r="G45" s="2" t="s">
        <v>15</v>
      </c>
      <c r="H45" s="2" t="s">
        <v>25</v>
      </c>
      <c r="I45" s="2" t="s">
        <v>16</v>
      </c>
      <c r="J45" s="2" t="s">
        <v>24</v>
      </c>
      <c r="K45" s="85">
        <v>510</v>
      </c>
    </row>
    <row r="46" spans="1:11" ht="13.2" x14ac:dyDescent="0.25">
      <c r="A46" s="1">
        <v>45440.541629618056</v>
      </c>
      <c r="B46" s="2">
        <v>21</v>
      </c>
      <c r="C46" s="2" t="s">
        <v>11</v>
      </c>
      <c r="D46" s="2" t="s">
        <v>12</v>
      </c>
      <c r="E46" s="2" t="s">
        <v>13</v>
      </c>
      <c r="F46" s="2" t="s">
        <v>14</v>
      </c>
      <c r="G46" s="2" t="s">
        <v>27</v>
      </c>
      <c r="H46" s="2" t="s">
        <v>16</v>
      </c>
      <c r="I46" s="2" t="s">
        <v>16</v>
      </c>
      <c r="J46" s="2" t="s">
        <v>24</v>
      </c>
      <c r="K46" s="85">
        <v>100</v>
      </c>
    </row>
    <row r="47" spans="1:11" ht="13.2" x14ac:dyDescent="0.25">
      <c r="A47" s="1">
        <v>45440.759702557873</v>
      </c>
      <c r="B47" s="2">
        <v>23</v>
      </c>
      <c r="C47" s="2" t="s">
        <v>11</v>
      </c>
      <c r="D47" s="2" t="s">
        <v>12</v>
      </c>
      <c r="E47" s="2" t="s">
        <v>13</v>
      </c>
      <c r="F47" s="2" t="s">
        <v>29</v>
      </c>
      <c r="G47" s="2" t="s">
        <v>15</v>
      </c>
      <c r="H47" s="2" t="s">
        <v>16</v>
      </c>
      <c r="I47" s="2" t="s">
        <v>16</v>
      </c>
      <c r="J47" s="2" t="s">
        <v>24</v>
      </c>
      <c r="K47" s="85">
        <v>160</v>
      </c>
    </row>
    <row r="48" spans="1:11" ht="13.2" x14ac:dyDescent="0.25">
      <c r="A48" s="1">
        <v>45440.74282363426</v>
      </c>
      <c r="B48" s="2">
        <v>31</v>
      </c>
      <c r="C48" s="2" t="s">
        <v>11</v>
      </c>
      <c r="D48" s="2" t="s">
        <v>12</v>
      </c>
      <c r="E48" s="2" t="s">
        <v>13</v>
      </c>
      <c r="F48" s="2" t="s">
        <v>29</v>
      </c>
      <c r="G48" s="2" t="s">
        <v>15</v>
      </c>
      <c r="H48" s="2" t="s">
        <v>16</v>
      </c>
      <c r="I48" s="2" t="s">
        <v>16</v>
      </c>
      <c r="J48" s="2" t="s">
        <v>24</v>
      </c>
      <c r="K48" s="85">
        <v>190</v>
      </c>
    </row>
    <row r="49" spans="1:11" ht="13.2" x14ac:dyDescent="0.25">
      <c r="A49" s="1">
        <v>45440.656299270835</v>
      </c>
      <c r="B49" s="2">
        <v>27</v>
      </c>
      <c r="C49" s="2" t="s">
        <v>11</v>
      </c>
      <c r="D49" s="2" t="s">
        <v>12</v>
      </c>
      <c r="E49" s="2" t="s">
        <v>13</v>
      </c>
      <c r="F49" s="2" t="s">
        <v>29</v>
      </c>
      <c r="G49" s="2" t="s">
        <v>27</v>
      </c>
      <c r="H49" s="2" t="s">
        <v>16</v>
      </c>
      <c r="I49" s="2" t="s">
        <v>16</v>
      </c>
      <c r="J49" s="2" t="s">
        <v>24</v>
      </c>
      <c r="K49" s="85">
        <v>300</v>
      </c>
    </row>
    <row r="50" spans="1:11" ht="13.2" x14ac:dyDescent="0.25">
      <c r="A50" s="1">
        <v>45440.644175208334</v>
      </c>
      <c r="B50" s="2">
        <v>24</v>
      </c>
      <c r="C50" s="2" t="s">
        <v>11</v>
      </c>
      <c r="D50" s="2" t="s">
        <v>12</v>
      </c>
      <c r="E50" s="2" t="s">
        <v>13</v>
      </c>
      <c r="F50" s="2" t="s">
        <v>30</v>
      </c>
      <c r="G50" s="2" t="s">
        <v>21</v>
      </c>
      <c r="H50" s="2" t="s">
        <v>16</v>
      </c>
      <c r="I50" s="2" t="s">
        <v>16</v>
      </c>
      <c r="J50" s="2" t="s">
        <v>24</v>
      </c>
      <c r="K50" s="85">
        <v>320</v>
      </c>
    </row>
    <row r="51" spans="1:11" ht="13.2" x14ac:dyDescent="0.25">
      <c r="A51" s="1">
        <v>45440.532372997681</v>
      </c>
      <c r="B51" s="2">
        <v>19</v>
      </c>
      <c r="C51" s="2" t="s">
        <v>29</v>
      </c>
      <c r="D51" s="2" t="s">
        <v>12</v>
      </c>
      <c r="E51" s="2" t="s">
        <v>13</v>
      </c>
      <c r="F51" s="2" t="s">
        <v>29</v>
      </c>
      <c r="G51" s="2" t="s">
        <v>15</v>
      </c>
      <c r="H51" s="2" t="s">
        <v>25</v>
      </c>
      <c r="I51" s="2" t="s">
        <v>16</v>
      </c>
      <c r="J51" s="2" t="s">
        <v>17</v>
      </c>
      <c r="K51" s="85">
        <v>155</v>
      </c>
    </row>
  </sheetData>
  <autoFilter ref="A1:K51" xr:uid="{5229D558-CB06-43D4-8CFC-5431874C3B24}">
    <sortState ref="A2:K51">
      <sortCondition ref="C1:C5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F6ACB-DEDA-477B-B53D-77B44D8F5E55}">
  <dimension ref="B2:Q297"/>
  <sheetViews>
    <sheetView topLeftCell="A272" zoomScale="95" zoomScaleNormal="95" workbookViewId="0">
      <selection activeCell="N277" sqref="N277"/>
    </sheetView>
  </sheetViews>
  <sheetFormatPr baseColWidth="10" defaultRowHeight="13.2" x14ac:dyDescent="0.25"/>
  <cols>
    <col min="9" max="9" width="12.5546875" bestFit="1" customWidth="1"/>
    <col min="10" max="10" width="11.77734375" bestFit="1" customWidth="1"/>
    <col min="17" max="18" width="11.5546875" customWidth="1"/>
  </cols>
  <sheetData>
    <row r="2" spans="2:17" x14ac:dyDescent="0.25">
      <c r="B2" t="str">
        <f>+datos!B1</f>
        <v>¿Cual es tu edad?</v>
      </c>
    </row>
    <row r="3" spans="2:17" ht="13.8" thickBot="1" x14ac:dyDescent="0.3"/>
    <row r="4" spans="2:17" ht="13.8" thickBot="1" x14ac:dyDescent="0.3">
      <c r="B4" s="35">
        <v>24</v>
      </c>
      <c r="C4" s="36">
        <v>22</v>
      </c>
      <c r="D4" s="142">
        <v>21</v>
      </c>
      <c r="E4" s="142">
        <v>20</v>
      </c>
      <c r="F4" s="37">
        <v>31</v>
      </c>
      <c r="H4" s="157" t="s">
        <v>33</v>
      </c>
      <c r="I4" s="158"/>
    </row>
    <row r="5" spans="2:17" ht="13.8" thickBot="1" x14ac:dyDescent="0.3">
      <c r="B5" s="38">
        <v>24</v>
      </c>
      <c r="C5" s="5">
        <v>29</v>
      </c>
      <c r="D5" s="5">
        <v>26</v>
      </c>
      <c r="E5" s="5">
        <v>24</v>
      </c>
      <c r="F5" s="39">
        <v>23</v>
      </c>
      <c r="H5" s="43" t="s">
        <v>34</v>
      </c>
      <c r="I5" s="46">
        <f>COUNT(B4:F13)</f>
        <v>50</v>
      </c>
      <c r="L5" s="49" t="s">
        <v>41</v>
      </c>
    </row>
    <row r="6" spans="2:17" x14ac:dyDescent="0.25">
      <c r="B6" s="143">
        <v>20</v>
      </c>
      <c r="C6" s="144">
        <v>19</v>
      </c>
      <c r="D6" s="144">
        <v>19</v>
      </c>
      <c r="E6" s="5">
        <v>24</v>
      </c>
      <c r="F6" s="145">
        <v>20</v>
      </c>
      <c r="H6" s="44" t="s">
        <v>35</v>
      </c>
      <c r="I6" s="47">
        <f>MIN(B4:F13)</f>
        <v>19</v>
      </c>
      <c r="K6" s="50" t="s">
        <v>41</v>
      </c>
      <c r="L6" s="49" t="s">
        <v>41</v>
      </c>
      <c r="Q6" s="35">
        <v>24</v>
      </c>
    </row>
    <row r="7" spans="2:17" x14ac:dyDescent="0.25">
      <c r="B7" s="38">
        <v>24</v>
      </c>
      <c r="C7" s="144">
        <v>20</v>
      </c>
      <c r="D7" s="5">
        <v>33</v>
      </c>
      <c r="E7" s="144">
        <v>20</v>
      </c>
      <c r="F7" s="39">
        <v>24</v>
      </c>
      <c r="H7" s="44" t="s">
        <v>36</v>
      </c>
      <c r="I7" s="47">
        <f>MAX(B4:F13)</f>
        <v>33</v>
      </c>
      <c r="K7" s="50" t="s">
        <v>41</v>
      </c>
      <c r="L7" s="49" t="s">
        <v>41</v>
      </c>
      <c r="M7">
        <f>STDEV(Q6:Q55)</f>
        <v>3.8138308985125446</v>
      </c>
      <c r="Q7" s="38">
        <v>24</v>
      </c>
    </row>
    <row r="8" spans="2:17" x14ac:dyDescent="0.25">
      <c r="B8" s="38">
        <v>25</v>
      </c>
      <c r="C8" s="144">
        <v>20</v>
      </c>
      <c r="D8" s="144">
        <v>20</v>
      </c>
      <c r="E8" s="5">
        <v>24</v>
      </c>
      <c r="F8" s="145">
        <v>22</v>
      </c>
      <c r="H8" s="44" t="s">
        <v>37</v>
      </c>
      <c r="I8" s="47">
        <f>I7-I6</f>
        <v>14</v>
      </c>
      <c r="K8" s="50" t="s">
        <v>41</v>
      </c>
      <c r="L8" s="49" t="s">
        <v>41</v>
      </c>
      <c r="Q8" s="38">
        <v>20</v>
      </c>
    </row>
    <row r="9" spans="2:17" x14ac:dyDescent="0.25">
      <c r="B9" s="38">
        <v>27</v>
      </c>
      <c r="C9" s="5">
        <v>23</v>
      </c>
      <c r="D9" s="5">
        <v>27</v>
      </c>
      <c r="E9" s="5">
        <v>25</v>
      </c>
      <c r="F9" s="39">
        <v>19</v>
      </c>
      <c r="H9" s="44" t="s">
        <v>38</v>
      </c>
      <c r="I9" s="47">
        <f>ROUNDUP(1+3.322*LOG(I5),0)</f>
        <v>7</v>
      </c>
      <c r="K9" s="50" t="s">
        <v>41</v>
      </c>
      <c r="L9" s="49" t="s">
        <v>40</v>
      </c>
      <c r="Q9" s="38">
        <v>24</v>
      </c>
    </row>
    <row r="10" spans="2:17" ht="13.8" thickBot="1" x14ac:dyDescent="0.3">
      <c r="B10" s="38">
        <v>30</v>
      </c>
      <c r="C10" s="5">
        <v>28</v>
      </c>
      <c r="D10" s="144">
        <v>19</v>
      </c>
      <c r="E10" s="5">
        <v>27</v>
      </c>
      <c r="F10" s="145">
        <v>21</v>
      </c>
      <c r="H10" s="45" t="s">
        <v>39</v>
      </c>
      <c r="I10" s="48">
        <f>I8/I9</f>
        <v>2</v>
      </c>
      <c r="K10" s="50" t="s">
        <v>41</v>
      </c>
      <c r="L10" s="49" t="s">
        <v>41</v>
      </c>
      <c r="Q10" s="38">
        <v>25</v>
      </c>
    </row>
    <row r="11" spans="2:17" ht="13.8" thickBot="1" x14ac:dyDescent="0.3">
      <c r="B11" s="143">
        <v>20</v>
      </c>
      <c r="C11" s="144">
        <v>19</v>
      </c>
      <c r="D11" s="144">
        <v>19</v>
      </c>
      <c r="E11" s="5">
        <v>30</v>
      </c>
      <c r="F11" s="39">
        <v>25</v>
      </c>
      <c r="K11" s="50" t="s">
        <v>41</v>
      </c>
      <c r="L11" s="49" t="s">
        <v>40</v>
      </c>
      <c r="Q11" s="38">
        <v>27</v>
      </c>
    </row>
    <row r="12" spans="2:17" x14ac:dyDescent="0.25">
      <c r="B12" s="143">
        <v>20</v>
      </c>
      <c r="C12" s="144">
        <v>19</v>
      </c>
      <c r="D12" s="5">
        <v>22</v>
      </c>
      <c r="E12" s="144">
        <v>20</v>
      </c>
      <c r="F12" s="39">
        <v>26</v>
      </c>
      <c r="H12" s="159" t="s">
        <v>91</v>
      </c>
      <c r="I12" s="160"/>
      <c r="K12" s="49" t="s">
        <v>86</v>
      </c>
      <c r="L12" s="49" t="s">
        <v>41</v>
      </c>
      <c r="Q12" s="38">
        <v>30</v>
      </c>
    </row>
    <row r="13" spans="2:17" ht="13.8" thickBot="1" x14ac:dyDescent="0.3">
      <c r="B13" s="40">
        <v>31</v>
      </c>
      <c r="C13" s="146">
        <v>21</v>
      </c>
      <c r="D13" s="41">
        <v>23</v>
      </c>
      <c r="E13" s="146">
        <v>20</v>
      </c>
      <c r="F13" s="147">
        <v>19</v>
      </c>
      <c r="H13" s="58" t="s">
        <v>87</v>
      </c>
      <c r="I13" s="59">
        <f>P29/I5</f>
        <v>23</v>
      </c>
      <c r="Q13" s="38">
        <v>20</v>
      </c>
    </row>
    <row r="14" spans="2:17" x14ac:dyDescent="0.25">
      <c r="H14" s="58" t="s">
        <v>88</v>
      </c>
      <c r="I14" s="59">
        <f>C23+(((I5/2)-J22)/G23)*I10</f>
        <v>22</v>
      </c>
      <c r="Q14" s="38">
        <v>20</v>
      </c>
    </row>
    <row r="15" spans="2:17" ht="13.8" thickBot="1" x14ac:dyDescent="0.3">
      <c r="G15" s="57"/>
      <c r="H15" s="58" t="s">
        <v>89</v>
      </c>
      <c r="I15" s="59">
        <f>C22+((G22-0)/((G22-0)+(G22-G23)))*I10</f>
        <v>20.157894736842106</v>
      </c>
      <c r="Q15" s="40">
        <v>31</v>
      </c>
    </row>
    <row r="16" spans="2:17" x14ac:dyDescent="0.25">
      <c r="Q16" s="36">
        <v>22</v>
      </c>
    </row>
    <row r="17" spans="2:17" ht="13.8" thickBot="1" x14ac:dyDescent="0.3">
      <c r="Q17" s="5">
        <v>29</v>
      </c>
    </row>
    <row r="18" spans="2:17" ht="13.8" thickBot="1" x14ac:dyDescent="0.3">
      <c r="B18" s="6">
        <v>1</v>
      </c>
      <c r="C18" s="7"/>
      <c r="D18" s="7">
        <v>2</v>
      </c>
      <c r="E18" s="8">
        <v>4</v>
      </c>
      <c r="F18" s="8">
        <v>5</v>
      </c>
      <c r="G18" s="8">
        <v>6</v>
      </c>
      <c r="H18" s="8">
        <v>7</v>
      </c>
      <c r="I18" s="8">
        <v>8</v>
      </c>
      <c r="J18" s="9">
        <v>9</v>
      </c>
      <c r="K18" s="9">
        <v>10</v>
      </c>
      <c r="L18" s="9">
        <v>11</v>
      </c>
      <c r="M18" s="9">
        <v>12</v>
      </c>
      <c r="N18" s="9">
        <v>13</v>
      </c>
      <c r="O18" s="9">
        <v>14</v>
      </c>
      <c r="Q18" s="5">
        <v>19</v>
      </c>
    </row>
    <row r="19" spans="2:17" ht="13.8" thickBot="1" x14ac:dyDescent="0.3">
      <c r="B19" s="10"/>
      <c r="C19" s="11"/>
      <c r="D19" s="11" t="s">
        <v>40</v>
      </c>
      <c r="E19" s="12" t="s">
        <v>40</v>
      </c>
      <c r="F19" s="12" t="s">
        <v>41</v>
      </c>
      <c r="G19" s="12" t="s">
        <v>40</v>
      </c>
      <c r="H19" s="12" t="s">
        <v>41</v>
      </c>
      <c r="I19" s="13" t="s">
        <v>41</v>
      </c>
      <c r="J19" s="161" t="s">
        <v>42</v>
      </c>
      <c r="K19" s="161"/>
      <c r="L19" s="162"/>
      <c r="M19" s="165" t="s">
        <v>43</v>
      </c>
      <c r="N19" s="161"/>
      <c r="O19" s="162"/>
      <c r="Q19" s="5">
        <v>20</v>
      </c>
    </row>
    <row r="20" spans="2:17" ht="27" thickBot="1" x14ac:dyDescent="0.3">
      <c r="B20" s="14" t="s">
        <v>44</v>
      </c>
      <c r="C20" s="163" t="s">
        <v>45</v>
      </c>
      <c r="D20" s="164"/>
      <c r="E20" s="15" t="s">
        <v>46</v>
      </c>
      <c r="F20" s="15" t="s">
        <v>47</v>
      </c>
      <c r="G20" s="16" t="s">
        <v>48</v>
      </c>
      <c r="H20" s="17" t="s">
        <v>49</v>
      </c>
      <c r="I20" s="18" t="s">
        <v>50</v>
      </c>
      <c r="J20" s="16" t="s">
        <v>48</v>
      </c>
      <c r="K20" s="17" t="s">
        <v>49</v>
      </c>
      <c r="L20" s="18" t="s">
        <v>50</v>
      </c>
      <c r="M20" s="16" t="s">
        <v>48</v>
      </c>
      <c r="N20" s="17" t="s">
        <v>49</v>
      </c>
      <c r="O20" s="18" t="s">
        <v>50</v>
      </c>
      <c r="Q20" s="5">
        <v>20</v>
      </c>
    </row>
    <row r="21" spans="2:17" ht="13.8" thickBot="1" x14ac:dyDescent="0.3">
      <c r="B21" s="19" t="s">
        <v>51</v>
      </c>
      <c r="C21" s="20" t="s">
        <v>52</v>
      </c>
      <c r="D21" s="21" t="s">
        <v>53</v>
      </c>
      <c r="E21" s="21" t="s">
        <v>54</v>
      </c>
      <c r="F21" s="21" t="s">
        <v>55</v>
      </c>
      <c r="G21" s="21" t="s">
        <v>56</v>
      </c>
      <c r="H21" s="21" t="s">
        <v>57</v>
      </c>
      <c r="I21" s="21" t="s">
        <v>58</v>
      </c>
      <c r="J21" s="21" t="s">
        <v>59</v>
      </c>
      <c r="K21" s="21" t="s">
        <v>60</v>
      </c>
      <c r="L21" s="21" t="s">
        <v>61</v>
      </c>
      <c r="M21" s="21" t="s">
        <v>62</v>
      </c>
      <c r="N21" s="21" t="s">
        <v>63</v>
      </c>
      <c r="O21" s="21" t="s">
        <v>64</v>
      </c>
      <c r="P21" s="31" t="s">
        <v>90</v>
      </c>
      <c r="Q21" s="5">
        <v>23</v>
      </c>
    </row>
    <row r="22" spans="2:17" ht="13.8" thickBot="1" x14ac:dyDescent="0.3">
      <c r="B22" s="22">
        <v>1</v>
      </c>
      <c r="C22" s="23">
        <f>I6</f>
        <v>19</v>
      </c>
      <c r="D22" s="23">
        <v>21</v>
      </c>
      <c r="E22" s="23" t="s">
        <v>65</v>
      </c>
      <c r="F22" s="30">
        <f>(C22+D22)/2</f>
        <v>20</v>
      </c>
      <c r="G22" s="33">
        <v>22</v>
      </c>
      <c r="H22" s="23">
        <f>G22/G29</f>
        <v>0.44</v>
      </c>
      <c r="I22" s="51">
        <f>H22</f>
        <v>0.44</v>
      </c>
      <c r="J22" s="23">
        <f>G22</f>
        <v>22</v>
      </c>
      <c r="K22" s="23">
        <f>H22</f>
        <v>0.44</v>
      </c>
      <c r="L22" s="23">
        <f>I22</f>
        <v>0.44</v>
      </c>
      <c r="M22" s="23">
        <f t="shared" ref="M22:O27" si="0">M23+G22</f>
        <v>50</v>
      </c>
      <c r="N22" s="23">
        <f t="shared" si="0"/>
        <v>1</v>
      </c>
      <c r="O22" s="23">
        <f t="shared" si="0"/>
        <v>1</v>
      </c>
      <c r="P22">
        <f>F22*G22</f>
        <v>440</v>
      </c>
      <c r="Q22" s="5">
        <v>28</v>
      </c>
    </row>
    <row r="23" spans="2:17" ht="13.8" thickBot="1" x14ac:dyDescent="0.3">
      <c r="B23" s="53">
        <v>2</v>
      </c>
      <c r="C23" s="54">
        <f>D22</f>
        <v>21</v>
      </c>
      <c r="D23" s="54">
        <f>D22+$I$10</f>
        <v>23</v>
      </c>
      <c r="E23" s="54" t="s">
        <v>67</v>
      </c>
      <c r="F23" s="121">
        <f t="shared" ref="F23:F28" si="1">(C23+D23)/2</f>
        <v>22</v>
      </c>
      <c r="G23" s="55">
        <v>6</v>
      </c>
      <c r="H23" s="54">
        <f>G23/G29</f>
        <v>0.12</v>
      </c>
      <c r="I23" s="56">
        <f t="shared" ref="I23:I28" si="2">H23</f>
        <v>0.12</v>
      </c>
      <c r="J23" s="54">
        <f t="shared" ref="J23:L28" si="3">J22+G23</f>
        <v>28</v>
      </c>
      <c r="K23" s="54">
        <f t="shared" si="3"/>
        <v>0.56000000000000005</v>
      </c>
      <c r="L23" s="54">
        <f t="shared" si="3"/>
        <v>0.56000000000000005</v>
      </c>
      <c r="M23" s="54">
        <f t="shared" si="0"/>
        <v>28</v>
      </c>
      <c r="N23" s="54">
        <f t="shared" si="0"/>
        <v>0.56000000000000005</v>
      </c>
      <c r="O23" s="54">
        <f t="shared" si="0"/>
        <v>0.56000000000000005</v>
      </c>
      <c r="P23">
        <f>F23*G23</f>
        <v>132</v>
      </c>
      <c r="Q23" s="5">
        <v>19</v>
      </c>
    </row>
    <row r="24" spans="2:17" ht="13.8" thickBot="1" x14ac:dyDescent="0.3">
      <c r="B24" s="22">
        <v>3</v>
      </c>
      <c r="C24" s="23">
        <f t="shared" ref="C24:C28" si="4">D23</f>
        <v>23</v>
      </c>
      <c r="D24" s="23">
        <f>D23+$I$10</f>
        <v>25</v>
      </c>
      <c r="E24" s="23" t="s">
        <v>82</v>
      </c>
      <c r="F24" s="120">
        <f t="shared" si="1"/>
        <v>24</v>
      </c>
      <c r="G24" s="33">
        <v>10</v>
      </c>
      <c r="H24" s="23">
        <f>G24/G29</f>
        <v>0.2</v>
      </c>
      <c r="I24" s="51">
        <f t="shared" si="2"/>
        <v>0.2</v>
      </c>
      <c r="J24" s="23">
        <f t="shared" si="3"/>
        <v>38</v>
      </c>
      <c r="K24" s="23">
        <f t="shared" si="3"/>
        <v>0.76</v>
      </c>
      <c r="L24" s="23">
        <f t="shared" si="3"/>
        <v>0.76</v>
      </c>
      <c r="M24" s="23">
        <f t="shared" si="0"/>
        <v>22</v>
      </c>
      <c r="N24" s="23">
        <f t="shared" si="0"/>
        <v>0.44000000000000006</v>
      </c>
      <c r="O24" s="23">
        <f t="shared" si="0"/>
        <v>0.44000000000000006</v>
      </c>
      <c r="P24">
        <f t="shared" ref="P24:P26" si="5">F24*G24</f>
        <v>240</v>
      </c>
      <c r="Q24" s="5">
        <v>19</v>
      </c>
    </row>
    <row r="25" spans="2:17" ht="13.8" thickBot="1" x14ac:dyDescent="0.3">
      <c r="B25" s="24">
        <v>4</v>
      </c>
      <c r="C25" s="23">
        <f t="shared" si="4"/>
        <v>25</v>
      </c>
      <c r="D25" s="23">
        <f t="shared" ref="D25:D28" si="6">D24+$I$10</f>
        <v>27</v>
      </c>
      <c r="E25" s="25" t="s">
        <v>83</v>
      </c>
      <c r="F25" s="30">
        <f t="shared" si="1"/>
        <v>26</v>
      </c>
      <c r="G25" s="33">
        <v>5</v>
      </c>
      <c r="H25" s="25">
        <f>G25/G29</f>
        <v>0.1</v>
      </c>
      <c r="I25" s="51">
        <f t="shared" si="2"/>
        <v>0.1</v>
      </c>
      <c r="J25" s="25">
        <f t="shared" si="3"/>
        <v>43</v>
      </c>
      <c r="K25" s="25">
        <f t="shared" si="3"/>
        <v>0.86</v>
      </c>
      <c r="L25" s="25">
        <f t="shared" si="3"/>
        <v>0.86</v>
      </c>
      <c r="M25" s="25">
        <f t="shared" si="0"/>
        <v>12</v>
      </c>
      <c r="N25" s="25">
        <f t="shared" si="0"/>
        <v>0.24000000000000002</v>
      </c>
      <c r="O25" s="25">
        <f t="shared" si="0"/>
        <v>0.24000000000000002</v>
      </c>
      <c r="P25">
        <f>F25*G25</f>
        <v>130</v>
      </c>
      <c r="Q25" s="41">
        <v>21</v>
      </c>
    </row>
    <row r="26" spans="2:17" ht="13.8" thickBot="1" x14ac:dyDescent="0.3">
      <c r="B26" s="22">
        <v>5</v>
      </c>
      <c r="C26" s="23">
        <f t="shared" si="4"/>
        <v>27</v>
      </c>
      <c r="D26" s="23">
        <f t="shared" si="6"/>
        <v>29</v>
      </c>
      <c r="E26" s="23" t="s">
        <v>84</v>
      </c>
      <c r="F26" s="30">
        <f t="shared" si="1"/>
        <v>28</v>
      </c>
      <c r="G26" s="33">
        <v>2</v>
      </c>
      <c r="H26" s="23">
        <f>G26/G29</f>
        <v>0.04</v>
      </c>
      <c r="I26" s="51">
        <f t="shared" si="2"/>
        <v>0.04</v>
      </c>
      <c r="J26" s="23">
        <f t="shared" si="3"/>
        <v>45</v>
      </c>
      <c r="K26" s="23">
        <f t="shared" si="3"/>
        <v>0.9</v>
      </c>
      <c r="L26" s="23">
        <f t="shared" si="3"/>
        <v>0.9</v>
      </c>
      <c r="M26" s="23">
        <f t="shared" si="0"/>
        <v>7</v>
      </c>
      <c r="N26" s="23">
        <f t="shared" si="0"/>
        <v>0.14000000000000001</v>
      </c>
      <c r="O26" s="23">
        <f t="shared" si="0"/>
        <v>0.14000000000000001</v>
      </c>
      <c r="P26">
        <f t="shared" si="5"/>
        <v>56</v>
      </c>
      <c r="Q26" s="36">
        <v>21</v>
      </c>
    </row>
    <row r="27" spans="2:17" ht="13.8" thickBot="1" x14ac:dyDescent="0.3">
      <c r="B27" s="22">
        <v>6</v>
      </c>
      <c r="C27" s="23">
        <f t="shared" si="4"/>
        <v>29</v>
      </c>
      <c r="D27" s="23">
        <f t="shared" si="6"/>
        <v>31</v>
      </c>
      <c r="E27" s="23" t="s">
        <v>85</v>
      </c>
      <c r="F27" s="30">
        <f t="shared" si="1"/>
        <v>30</v>
      </c>
      <c r="G27" s="34">
        <v>4</v>
      </c>
      <c r="H27" s="23">
        <f>G27/G29</f>
        <v>0.08</v>
      </c>
      <c r="I27" s="51">
        <f t="shared" si="2"/>
        <v>0.08</v>
      </c>
      <c r="J27" s="23">
        <f t="shared" si="3"/>
        <v>49</v>
      </c>
      <c r="K27" s="23">
        <f t="shared" si="3"/>
        <v>0.98</v>
      </c>
      <c r="L27" s="23">
        <f t="shared" si="3"/>
        <v>0.98</v>
      </c>
      <c r="M27" s="23">
        <f t="shared" si="0"/>
        <v>5</v>
      </c>
      <c r="N27" s="23">
        <f t="shared" si="0"/>
        <v>0.1</v>
      </c>
      <c r="O27" s="23">
        <f t="shared" si="0"/>
        <v>0.1</v>
      </c>
      <c r="P27">
        <f>F27*G27</f>
        <v>120</v>
      </c>
      <c r="Q27" s="5">
        <v>26</v>
      </c>
    </row>
    <row r="28" spans="2:17" ht="13.8" thickBot="1" x14ac:dyDescent="0.3">
      <c r="B28" s="22">
        <v>7</v>
      </c>
      <c r="C28" s="23">
        <f t="shared" si="4"/>
        <v>31</v>
      </c>
      <c r="D28" s="23">
        <f t="shared" si="6"/>
        <v>33</v>
      </c>
      <c r="E28" s="23" t="s">
        <v>68</v>
      </c>
      <c r="F28" s="30">
        <f t="shared" si="1"/>
        <v>32</v>
      </c>
      <c r="G28" s="33">
        <v>1</v>
      </c>
      <c r="H28" s="23">
        <f>G28/G29</f>
        <v>0.02</v>
      </c>
      <c r="I28" s="51">
        <f t="shared" si="2"/>
        <v>0.02</v>
      </c>
      <c r="J28" s="23">
        <f t="shared" si="3"/>
        <v>50</v>
      </c>
      <c r="K28" s="23">
        <f t="shared" si="3"/>
        <v>1</v>
      </c>
      <c r="L28" s="23">
        <f t="shared" si="3"/>
        <v>1</v>
      </c>
      <c r="M28" s="23">
        <f>G28</f>
        <v>1</v>
      </c>
      <c r="N28" s="23">
        <f>H28</f>
        <v>0.02</v>
      </c>
      <c r="O28" s="23">
        <f>I28</f>
        <v>0.02</v>
      </c>
      <c r="P28">
        <f>F28*G28</f>
        <v>32</v>
      </c>
      <c r="Q28" s="5">
        <v>19</v>
      </c>
    </row>
    <row r="29" spans="2:17" ht="14.4" thickBot="1" x14ac:dyDescent="0.3">
      <c r="B29" s="27"/>
      <c r="C29" s="27"/>
      <c r="D29" s="27"/>
      <c r="E29" s="27"/>
      <c r="F29" s="27"/>
      <c r="G29" s="32">
        <f>SUM(G22:G28)</f>
        <v>50</v>
      </c>
      <c r="H29" s="29">
        <f>SUM(H22:H28)</f>
        <v>1</v>
      </c>
      <c r="I29" s="52">
        <f>SUM(I22:I28)</f>
        <v>1</v>
      </c>
      <c r="J29" s="27"/>
      <c r="K29" s="27"/>
      <c r="L29" s="27"/>
      <c r="M29" s="27"/>
      <c r="N29" s="27"/>
      <c r="O29" s="27"/>
      <c r="P29">
        <f>SUM(P22:P28)</f>
        <v>1150</v>
      </c>
      <c r="Q29" s="5">
        <v>33</v>
      </c>
    </row>
    <row r="30" spans="2:17" x14ac:dyDescent="0.25">
      <c r="Q30" s="5">
        <v>20</v>
      </c>
    </row>
    <row r="31" spans="2:17" x14ac:dyDescent="0.25">
      <c r="Q31" s="5">
        <v>27</v>
      </c>
    </row>
    <row r="32" spans="2:17" x14ac:dyDescent="0.25">
      <c r="Q32" s="5">
        <v>19</v>
      </c>
    </row>
    <row r="33" spans="17:17" x14ac:dyDescent="0.25">
      <c r="Q33" s="5">
        <v>19</v>
      </c>
    </row>
    <row r="34" spans="17:17" x14ac:dyDescent="0.25">
      <c r="Q34" s="5">
        <v>22</v>
      </c>
    </row>
    <row r="35" spans="17:17" ht="13.8" thickBot="1" x14ac:dyDescent="0.3">
      <c r="Q35" s="41">
        <v>23</v>
      </c>
    </row>
    <row r="36" spans="17:17" x14ac:dyDescent="0.25">
      <c r="Q36" s="36">
        <v>20</v>
      </c>
    </row>
    <row r="37" spans="17:17" x14ac:dyDescent="0.25">
      <c r="Q37" s="5">
        <v>24</v>
      </c>
    </row>
    <row r="38" spans="17:17" x14ac:dyDescent="0.25">
      <c r="Q38" s="5">
        <v>24</v>
      </c>
    </row>
    <row r="39" spans="17:17" x14ac:dyDescent="0.25">
      <c r="Q39" s="5">
        <v>20</v>
      </c>
    </row>
    <row r="40" spans="17:17" x14ac:dyDescent="0.25">
      <c r="Q40" s="5">
        <v>24</v>
      </c>
    </row>
    <row r="41" spans="17:17" x14ac:dyDescent="0.25">
      <c r="Q41" s="5">
        <v>25</v>
      </c>
    </row>
    <row r="42" spans="17:17" x14ac:dyDescent="0.25">
      <c r="Q42" s="5">
        <v>27</v>
      </c>
    </row>
    <row r="43" spans="17:17" x14ac:dyDescent="0.25">
      <c r="Q43" s="5">
        <v>30</v>
      </c>
    </row>
    <row r="44" spans="17:17" x14ac:dyDescent="0.25">
      <c r="Q44" s="5">
        <v>20</v>
      </c>
    </row>
    <row r="45" spans="17:17" ht="13.8" thickBot="1" x14ac:dyDescent="0.3">
      <c r="Q45" s="41">
        <v>20</v>
      </c>
    </row>
    <row r="46" spans="17:17" x14ac:dyDescent="0.25">
      <c r="Q46" s="37">
        <v>31</v>
      </c>
    </row>
    <row r="47" spans="17:17" x14ac:dyDescent="0.25">
      <c r="Q47" s="39">
        <v>23</v>
      </c>
    </row>
    <row r="48" spans="17:17" x14ac:dyDescent="0.25">
      <c r="Q48" s="39">
        <v>20</v>
      </c>
    </row>
    <row r="49" spans="2:17" x14ac:dyDescent="0.25">
      <c r="Q49" s="39">
        <v>24</v>
      </c>
    </row>
    <row r="50" spans="2:17" x14ac:dyDescent="0.25">
      <c r="Q50" s="39">
        <v>22</v>
      </c>
    </row>
    <row r="51" spans="2:17" x14ac:dyDescent="0.25">
      <c r="Q51" s="39">
        <v>19</v>
      </c>
    </row>
    <row r="52" spans="2:17" x14ac:dyDescent="0.25">
      <c r="B52" t="str">
        <f>+datos!C1</f>
        <v>¿Cual es tu sexo?</v>
      </c>
      <c r="Q52" s="39">
        <v>21</v>
      </c>
    </row>
    <row r="53" spans="2:17" ht="13.8" thickBot="1" x14ac:dyDescent="0.3">
      <c r="Q53" s="39">
        <v>25</v>
      </c>
    </row>
    <row r="54" spans="2:17" ht="13.8" thickBot="1" x14ac:dyDescent="0.3">
      <c r="B54" s="6">
        <v>1</v>
      </c>
      <c r="C54" s="8">
        <v>2</v>
      </c>
      <c r="D54" s="8">
        <v>3</v>
      </c>
      <c r="E54" s="8">
        <v>4</v>
      </c>
      <c r="F54" s="8">
        <v>5</v>
      </c>
      <c r="G54" s="9">
        <v>6</v>
      </c>
      <c r="Q54" s="39">
        <v>26</v>
      </c>
    </row>
    <row r="55" spans="2:17" ht="27" thickBot="1" x14ac:dyDescent="0.3">
      <c r="B55" s="14" t="s">
        <v>44</v>
      </c>
      <c r="C55" s="15" t="s">
        <v>46</v>
      </c>
      <c r="D55" s="16" t="s">
        <v>48</v>
      </c>
      <c r="E55" s="17" t="s">
        <v>49</v>
      </c>
      <c r="F55" s="18" t="s">
        <v>50</v>
      </c>
      <c r="G55" s="16" t="s">
        <v>48</v>
      </c>
      <c r="Q55" s="42">
        <v>19</v>
      </c>
    </row>
    <row r="56" spans="2:17" ht="13.8" thickBot="1" x14ac:dyDescent="0.3">
      <c r="B56" s="19" t="s">
        <v>92</v>
      </c>
      <c r="C56" s="21" t="s">
        <v>54</v>
      </c>
      <c r="D56" s="21"/>
      <c r="E56" s="21" t="s">
        <v>57</v>
      </c>
      <c r="F56" s="21" t="s">
        <v>58</v>
      </c>
      <c r="G56" s="21" t="s">
        <v>59</v>
      </c>
    </row>
    <row r="57" spans="2:17" ht="13.8" thickBot="1" x14ac:dyDescent="0.3">
      <c r="B57" s="22" t="s">
        <v>93</v>
      </c>
      <c r="C57" s="23" t="s">
        <v>65</v>
      </c>
      <c r="D57" s="23">
        <v>31</v>
      </c>
      <c r="E57" s="23">
        <f>D57/D60</f>
        <v>0.62</v>
      </c>
      <c r="F57" s="23">
        <f>E57*100</f>
        <v>62</v>
      </c>
      <c r="G57" s="23">
        <f>D57</f>
        <v>31</v>
      </c>
    </row>
    <row r="58" spans="2:17" ht="13.8" thickBot="1" x14ac:dyDescent="0.3">
      <c r="B58" s="22" t="s">
        <v>94</v>
      </c>
      <c r="C58" s="23" t="s">
        <v>66</v>
      </c>
      <c r="D58" s="26">
        <v>18</v>
      </c>
      <c r="E58" s="23">
        <f>D58/D60</f>
        <v>0.36</v>
      </c>
      <c r="F58" s="23">
        <f t="shared" ref="F58:F59" si="7">E58*100</f>
        <v>36</v>
      </c>
      <c r="G58" s="23">
        <f t="shared" ref="G58:G59" si="8">G57+D58</f>
        <v>49</v>
      </c>
    </row>
    <row r="59" spans="2:17" ht="13.8" thickBot="1" x14ac:dyDescent="0.3">
      <c r="B59" s="22" t="s">
        <v>95</v>
      </c>
      <c r="C59" s="30" t="s">
        <v>68</v>
      </c>
      <c r="D59" s="60">
        <v>1</v>
      </c>
      <c r="E59" s="26">
        <f>D59/D60</f>
        <v>0.02</v>
      </c>
      <c r="F59" s="23">
        <f t="shared" si="7"/>
        <v>2</v>
      </c>
      <c r="G59" s="23">
        <f t="shared" si="8"/>
        <v>50</v>
      </c>
    </row>
    <row r="60" spans="2:17" ht="14.4" thickBot="1" x14ac:dyDescent="0.3">
      <c r="B60" s="27"/>
      <c r="C60" s="27"/>
      <c r="D60" s="29">
        <f>SUM(D57:D59)</f>
        <v>50</v>
      </c>
      <c r="E60" s="29">
        <f>SUM(E57:E59)</f>
        <v>1</v>
      </c>
      <c r="F60" s="28">
        <f>SUM(F57:F59)</f>
        <v>100</v>
      </c>
    </row>
    <row r="61" spans="2:17" x14ac:dyDescent="0.25">
      <c r="B61" s="27"/>
      <c r="C61" s="27"/>
      <c r="D61" s="27"/>
      <c r="E61" s="27"/>
      <c r="F61" s="27"/>
      <c r="G61" s="27"/>
    </row>
    <row r="79" spans="2:2" x14ac:dyDescent="0.25">
      <c r="B79" t="str">
        <f>+datos!D1</f>
        <v>¿En que horario estas pasando clase en la UPDS?</v>
      </c>
    </row>
    <row r="81" spans="2:7" ht="13.8" thickBot="1" x14ac:dyDescent="0.3"/>
    <row r="82" spans="2:7" ht="13.8" thickBot="1" x14ac:dyDescent="0.3">
      <c r="B82" s="6">
        <v>1</v>
      </c>
      <c r="C82" s="8">
        <v>2</v>
      </c>
      <c r="D82" s="8">
        <v>3</v>
      </c>
      <c r="E82" s="8">
        <v>4</v>
      </c>
      <c r="F82" s="8">
        <v>5</v>
      </c>
      <c r="G82" s="9">
        <v>6</v>
      </c>
    </row>
    <row r="83" spans="2:7" ht="27" thickBot="1" x14ac:dyDescent="0.3">
      <c r="B83" s="14" t="s">
        <v>44</v>
      </c>
      <c r="C83" s="15" t="s">
        <v>46</v>
      </c>
      <c r="D83" s="16" t="s">
        <v>48</v>
      </c>
      <c r="E83" s="17" t="s">
        <v>49</v>
      </c>
      <c r="F83" s="18" t="s">
        <v>50</v>
      </c>
      <c r="G83" s="16" t="s">
        <v>48</v>
      </c>
    </row>
    <row r="84" spans="2:7" ht="13.8" thickBot="1" x14ac:dyDescent="0.3">
      <c r="B84" s="61" t="s">
        <v>96</v>
      </c>
      <c r="C84" s="21" t="s">
        <v>54</v>
      </c>
      <c r="D84" s="21" t="s">
        <v>56</v>
      </c>
      <c r="E84" s="21" t="s">
        <v>57</v>
      </c>
      <c r="F84" s="21" t="s">
        <v>58</v>
      </c>
      <c r="G84" s="21" t="s">
        <v>59</v>
      </c>
    </row>
    <row r="85" spans="2:7" s="63" customFormat="1" ht="13.8" thickBot="1" x14ac:dyDescent="0.3">
      <c r="B85" s="62" t="str">
        <f>+datos!D12</f>
        <v>Mañana</v>
      </c>
      <c r="C85" s="25" t="s">
        <v>97</v>
      </c>
      <c r="D85" s="25">
        <v>30</v>
      </c>
      <c r="E85" s="23">
        <f>D85/D89</f>
        <v>0.6</v>
      </c>
      <c r="F85" s="64">
        <f>E85</f>
        <v>0.6</v>
      </c>
      <c r="G85" s="25">
        <f>D85</f>
        <v>30</v>
      </c>
    </row>
    <row r="86" spans="2:7" s="63" customFormat="1" ht="13.8" thickBot="1" x14ac:dyDescent="0.3">
      <c r="B86" s="62" t="str">
        <f>+datos!D33</f>
        <v>Mañana</v>
      </c>
      <c r="C86" s="25" t="s">
        <v>98</v>
      </c>
      <c r="D86" s="25">
        <v>3</v>
      </c>
      <c r="E86" s="23">
        <f>D86/D89</f>
        <v>0.06</v>
      </c>
      <c r="F86" s="64">
        <f>E86</f>
        <v>0.06</v>
      </c>
      <c r="G86" s="25">
        <f>G85+D86</f>
        <v>33</v>
      </c>
    </row>
    <row r="87" spans="2:7" ht="13.8" thickBot="1" x14ac:dyDescent="0.3">
      <c r="B87" s="22" t="str">
        <f>+datos!D35</f>
        <v>Mañana</v>
      </c>
      <c r="C87" s="23" t="s">
        <v>99</v>
      </c>
      <c r="D87" s="23">
        <v>16</v>
      </c>
      <c r="E87" s="23">
        <f>D87/D89</f>
        <v>0.32</v>
      </c>
      <c r="F87" s="51">
        <f>E87</f>
        <v>0.32</v>
      </c>
      <c r="G87" s="23">
        <f>G86+D87</f>
        <v>49</v>
      </c>
    </row>
    <row r="88" spans="2:7" ht="13.8" thickBot="1" x14ac:dyDescent="0.3">
      <c r="B88" s="22" t="str">
        <f>+datos!D51</f>
        <v>Mañana</v>
      </c>
      <c r="C88" s="23" t="s">
        <v>68</v>
      </c>
      <c r="D88" s="26">
        <v>1</v>
      </c>
      <c r="E88" s="23">
        <f>D88/D89</f>
        <v>0.02</v>
      </c>
      <c r="F88" s="51">
        <f>E88</f>
        <v>0.02</v>
      </c>
      <c r="G88" s="23">
        <f>G87+D88</f>
        <v>50</v>
      </c>
    </row>
    <row r="89" spans="2:7" ht="14.4" thickBot="1" x14ac:dyDescent="0.3">
      <c r="B89" s="27"/>
      <c r="C89" s="27"/>
      <c r="D89" s="29">
        <f>SUM(D85:D88)</f>
        <v>50</v>
      </c>
      <c r="E89" s="29">
        <f t="shared" ref="E89" si="9">SUM(E85:E88)</f>
        <v>1</v>
      </c>
      <c r="F89" s="65">
        <f>SUM(F85:F88)</f>
        <v>1</v>
      </c>
    </row>
    <row r="106" spans="2:7" x14ac:dyDescent="0.25">
      <c r="B106" t="str">
        <f>+datos!E1</f>
        <v>¿Actualmente trabajas mientras estudias?</v>
      </c>
    </row>
    <row r="109" spans="2:7" ht="27" thickBot="1" x14ac:dyDescent="0.3">
      <c r="B109" s="14" t="s">
        <v>44</v>
      </c>
      <c r="C109" s="15" t="s">
        <v>46</v>
      </c>
      <c r="D109" s="16" t="s">
        <v>48</v>
      </c>
      <c r="E109" s="17" t="s">
        <v>49</v>
      </c>
      <c r="F109" s="18" t="s">
        <v>50</v>
      </c>
      <c r="G109" s="16" t="s">
        <v>48</v>
      </c>
    </row>
    <row r="110" spans="2:7" ht="13.8" thickBot="1" x14ac:dyDescent="0.3">
      <c r="B110" s="66" t="s">
        <v>100</v>
      </c>
      <c r="C110" s="21" t="s">
        <v>54</v>
      </c>
      <c r="D110" s="21" t="s">
        <v>56</v>
      </c>
      <c r="E110" s="21" t="s">
        <v>57</v>
      </c>
      <c r="F110" s="21" t="s">
        <v>58</v>
      </c>
      <c r="G110" s="21" t="s">
        <v>59</v>
      </c>
    </row>
    <row r="111" spans="2:7" ht="13.8" thickBot="1" x14ac:dyDescent="0.3">
      <c r="B111" s="22" t="s">
        <v>13</v>
      </c>
      <c r="C111" s="23" t="s">
        <v>65</v>
      </c>
      <c r="D111" s="23">
        <v>39</v>
      </c>
      <c r="E111" s="23">
        <f>D111/D113</f>
        <v>0.78</v>
      </c>
      <c r="F111" s="51">
        <f>E111</f>
        <v>0.78</v>
      </c>
      <c r="G111" s="23">
        <f>D111</f>
        <v>39</v>
      </c>
    </row>
    <row r="112" spans="2:7" ht="13.8" thickBot="1" x14ac:dyDescent="0.3">
      <c r="B112" s="22" t="s">
        <v>26</v>
      </c>
      <c r="C112" s="23" t="s">
        <v>66</v>
      </c>
      <c r="D112" s="26">
        <v>11</v>
      </c>
      <c r="E112" s="23">
        <f>D112/D113</f>
        <v>0.22</v>
      </c>
      <c r="F112" s="51">
        <f>E112</f>
        <v>0.22</v>
      </c>
      <c r="G112" s="23">
        <f t="shared" ref="G112" si="10">G111+D112</f>
        <v>50</v>
      </c>
    </row>
    <row r="113" spans="2:6" ht="14.4" thickBot="1" x14ac:dyDescent="0.3">
      <c r="B113" s="27"/>
      <c r="C113" s="27"/>
      <c r="D113" s="29">
        <f>SUM(D111:D112)</f>
        <v>50</v>
      </c>
      <c r="E113" s="29">
        <f>SUM(E111:E112)</f>
        <v>1</v>
      </c>
      <c r="F113" s="67">
        <f>SUM(F111:F112)</f>
        <v>1</v>
      </c>
    </row>
    <row r="128" spans="2:6" x14ac:dyDescent="0.25">
      <c r="B128" t="str">
        <f>+datos!F1</f>
        <v>¿Que carrera estas estudiando ?</v>
      </c>
    </row>
    <row r="131" spans="2:7" ht="27" thickBot="1" x14ac:dyDescent="0.3">
      <c r="B131" s="14" t="s">
        <v>44</v>
      </c>
      <c r="C131" s="15" t="s">
        <v>46</v>
      </c>
      <c r="D131" s="16" t="s">
        <v>48</v>
      </c>
      <c r="E131" s="17" t="s">
        <v>49</v>
      </c>
      <c r="F131" s="18" t="s">
        <v>50</v>
      </c>
      <c r="G131" s="16" t="s">
        <v>48</v>
      </c>
    </row>
    <row r="132" spans="2:7" ht="13.8" thickBot="1" x14ac:dyDescent="0.3">
      <c r="B132" s="61" t="s">
        <v>96</v>
      </c>
      <c r="C132" s="21" t="s">
        <v>54</v>
      </c>
      <c r="D132" s="21" t="s">
        <v>56</v>
      </c>
      <c r="E132" s="21" t="s">
        <v>57</v>
      </c>
      <c r="F132" s="21" t="s">
        <v>58</v>
      </c>
      <c r="G132" s="21" t="s">
        <v>59</v>
      </c>
    </row>
    <row r="133" spans="2:7" ht="27" customHeight="1" thickBot="1" x14ac:dyDescent="0.3">
      <c r="B133" s="62" t="str">
        <f>+datos!F2</f>
        <v>otros</v>
      </c>
      <c r="C133" s="25" t="s">
        <v>84</v>
      </c>
      <c r="D133" s="25">
        <v>2</v>
      </c>
      <c r="E133" s="23">
        <f>D133/D138</f>
        <v>0.04</v>
      </c>
      <c r="F133" s="64">
        <f>E133</f>
        <v>0.04</v>
      </c>
      <c r="G133" s="25">
        <f>D133</f>
        <v>2</v>
      </c>
    </row>
    <row r="134" spans="2:7" ht="27" customHeight="1" thickBot="1" x14ac:dyDescent="0.3">
      <c r="B134" s="62" t="str">
        <f>+datos!F5</f>
        <v>Ing. Industrial</v>
      </c>
      <c r="C134" s="25" t="s">
        <v>101</v>
      </c>
      <c r="D134" s="25">
        <v>21</v>
      </c>
      <c r="E134" s="23">
        <f>D134/D138</f>
        <v>0.42</v>
      </c>
      <c r="F134" s="64">
        <f t="shared" ref="F134:F137" si="11">E134</f>
        <v>0.42</v>
      </c>
      <c r="G134" s="25">
        <f>G133+D134</f>
        <v>23</v>
      </c>
    </row>
    <row r="135" spans="2:7" ht="27" customHeight="1" thickBot="1" x14ac:dyDescent="0.3">
      <c r="B135" s="62" t="str">
        <f>+datos!F30</f>
        <v>Ing. Industrial</v>
      </c>
      <c r="C135" s="25" t="s">
        <v>101</v>
      </c>
      <c r="D135" s="25">
        <v>17</v>
      </c>
      <c r="E135" s="23">
        <f>D135/D138</f>
        <v>0.34</v>
      </c>
      <c r="F135" s="64">
        <f t="shared" si="11"/>
        <v>0.34</v>
      </c>
      <c r="G135" s="25">
        <f>G134+D135</f>
        <v>40</v>
      </c>
    </row>
    <row r="136" spans="2:7" ht="27.6" customHeight="1" thickBot="1" x14ac:dyDescent="0.3">
      <c r="B136" s="68" t="str">
        <f>+datos!F42</f>
        <v>Ing. Comercial</v>
      </c>
      <c r="C136" s="25" t="s">
        <v>68</v>
      </c>
      <c r="D136" s="25">
        <v>1</v>
      </c>
      <c r="E136" s="23">
        <f>D136/D138</f>
        <v>0.02</v>
      </c>
      <c r="F136" s="64">
        <f t="shared" si="11"/>
        <v>0.02</v>
      </c>
      <c r="G136" s="25">
        <f>G135+D136</f>
        <v>41</v>
      </c>
    </row>
    <row r="137" spans="2:7" ht="13.8" thickBot="1" x14ac:dyDescent="0.3">
      <c r="B137" s="22" t="str">
        <f>+datos!F43</f>
        <v>Ing. Industrial</v>
      </c>
      <c r="C137" s="23" t="s">
        <v>102</v>
      </c>
      <c r="D137" s="23">
        <v>9</v>
      </c>
      <c r="E137" s="23">
        <f>D137/D138</f>
        <v>0.18</v>
      </c>
      <c r="F137" s="64">
        <f t="shared" si="11"/>
        <v>0.18</v>
      </c>
      <c r="G137" s="23">
        <f>G136+D137</f>
        <v>50</v>
      </c>
    </row>
    <row r="138" spans="2:7" ht="14.4" thickBot="1" x14ac:dyDescent="0.3">
      <c r="B138" s="27"/>
      <c r="C138" s="27"/>
      <c r="D138" s="29">
        <f>SUM(D133:D137)</f>
        <v>50</v>
      </c>
      <c r="E138" s="29">
        <f>SUM(E133:E137)</f>
        <v>1</v>
      </c>
      <c r="F138" s="65">
        <f>SUM(F133:F137)</f>
        <v>1</v>
      </c>
    </row>
    <row r="151" spans="2:7" x14ac:dyDescent="0.25">
      <c r="B151" t="str">
        <f>+datos!G1</f>
        <v>¿Cual es tu horario laboral?</v>
      </c>
    </row>
    <row r="153" spans="2:7" ht="13.8" thickBot="1" x14ac:dyDescent="0.3"/>
    <row r="154" spans="2:7" ht="13.8" thickBot="1" x14ac:dyDescent="0.3">
      <c r="B154" s="6">
        <v>1</v>
      </c>
      <c r="C154" s="8">
        <v>2</v>
      </c>
      <c r="D154" s="8">
        <v>3</v>
      </c>
      <c r="E154" s="8">
        <v>4</v>
      </c>
      <c r="F154" s="8">
        <v>5</v>
      </c>
      <c r="G154" s="9">
        <v>6</v>
      </c>
    </row>
    <row r="155" spans="2:7" ht="27" thickBot="1" x14ac:dyDescent="0.3">
      <c r="B155" s="14" t="s">
        <v>44</v>
      </c>
      <c r="C155" s="15" t="s">
        <v>46</v>
      </c>
      <c r="D155" s="16" t="s">
        <v>48</v>
      </c>
      <c r="E155" s="17" t="s">
        <v>49</v>
      </c>
      <c r="F155" s="18" t="s">
        <v>50</v>
      </c>
      <c r="G155" s="16" t="s">
        <v>48</v>
      </c>
    </row>
    <row r="156" spans="2:7" ht="13.8" thickBot="1" x14ac:dyDescent="0.3">
      <c r="B156" s="66" t="s">
        <v>103</v>
      </c>
      <c r="C156" s="21" t="s">
        <v>54</v>
      </c>
      <c r="D156" s="21" t="s">
        <v>56</v>
      </c>
      <c r="E156" s="21" t="s">
        <v>57</v>
      </c>
      <c r="F156" s="21" t="s">
        <v>58</v>
      </c>
      <c r="G156" s="21" t="s">
        <v>59</v>
      </c>
    </row>
    <row r="157" spans="2:7" ht="28.2" customHeight="1" thickBot="1" x14ac:dyDescent="0.3">
      <c r="B157" s="70" t="str">
        <f>+datos!G2</f>
        <v>medio dia 4 horas</v>
      </c>
      <c r="C157" s="25" t="s">
        <v>82</v>
      </c>
      <c r="D157" s="25">
        <v>11</v>
      </c>
      <c r="E157" s="23">
        <f>D157/D161</f>
        <v>0.22</v>
      </c>
      <c r="F157" s="64">
        <f>E157</f>
        <v>0.22</v>
      </c>
      <c r="G157" s="25">
        <f>D157</f>
        <v>11</v>
      </c>
    </row>
    <row r="158" spans="2:7" ht="34.799999999999997" customHeight="1" thickBot="1" x14ac:dyDescent="0.3">
      <c r="B158" s="24" t="str">
        <f>+datos!G13</f>
        <v>Horario de oficina 8 - 12 a 2 - 6 horas</v>
      </c>
      <c r="C158" s="25" t="s">
        <v>104</v>
      </c>
      <c r="D158" s="25">
        <v>7</v>
      </c>
      <c r="E158" s="23">
        <f>D158/D161</f>
        <v>0.14000000000000001</v>
      </c>
      <c r="F158" s="64">
        <f>E158</f>
        <v>0.14000000000000001</v>
      </c>
      <c r="G158" s="25">
        <f>G157+D158</f>
        <v>18</v>
      </c>
    </row>
    <row r="159" spans="2:7" ht="29.4" customHeight="1" thickBot="1" x14ac:dyDescent="0.3">
      <c r="B159" s="71" t="str">
        <f>+datos!G20</f>
        <v>Horario continua 3 - 9 horas</v>
      </c>
      <c r="C159" s="25" t="s">
        <v>82</v>
      </c>
      <c r="D159" s="23">
        <v>11</v>
      </c>
      <c r="E159" s="23">
        <f>D159/D161</f>
        <v>0.22</v>
      </c>
      <c r="F159" s="51">
        <f>E159</f>
        <v>0.22</v>
      </c>
      <c r="G159" s="23">
        <f>G158+D159</f>
        <v>29</v>
      </c>
    </row>
    <row r="160" spans="2:7" ht="30.6" customHeight="1" thickBot="1" x14ac:dyDescent="0.3">
      <c r="B160" s="22" t="str">
        <f>+datos!G49</f>
        <v>Horario continua 3 - 9 horas</v>
      </c>
      <c r="C160" s="23" t="s">
        <v>105</v>
      </c>
      <c r="D160" s="26">
        <v>21</v>
      </c>
      <c r="E160" s="23">
        <f>D160/D161</f>
        <v>0.42</v>
      </c>
      <c r="F160" s="51">
        <f>E160</f>
        <v>0.42</v>
      </c>
      <c r="G160" s="23">
        <f>G159+D160</f>
        <v>50</v>
      </c>
    </row>
    <row r="161" spans="2:6" ht="14.4" thickBot="1" x14ac:dyDescent="0.3">
      <c r="B161" s="27"/>
      <c r="C161" s="27"/>
      <c r="D161" s="29">
        <f>SUM(D157:D160)</f>
        <v>50</v>
      </c>
      <c r="E161" s="29">
        <f t="shared" ref="E161" si="12">SUM(E157:E160)</f>
        <v>1</v>
      </c>
      <c r="F161" s="65">
        <f>SUM(F157:F160)</f>
        <v>1</v>
      </c>
    </row>
    <row r="176" spans="2:6" x14ac:dyDescent="0.25">
      <c r="B176" t="str">
        <f>+datos!H1</f>
        <v>¿ Has tenido dificultades para encontrar clases que se ajusten a tu horario laboral?</v>
      </c>
    </row>
    <row r="179" spans="2:7" ht="27" thickBot="1" x14ac:dyDescent="0.3">
      <c r="B179" s="14" t="s">
        <v>44</v>
      </c>
      <c r="C179" s="15" t="s">
        <v>46</v>
      </c>
      <c r="D179" s="16" t="s">
        <v>48</v>
      </c>
      <c r="E179" s="17" t="s">
        <v>49</v>
      </c>
      <c r="F179" s="18" t="s">
        <v>50</v>
      </c>
      <c r="G179" s="16" t="s">
        <v>48</v>
      </c>
    </row>
    <row r="180" spans="2:7" ht="13.8" thickBot="1" x14ac:dyDescent="0.3">
      <c r="B180" s="66" t="s">
        <v>106</v>
      </c>
      <c r="C180" s="21" t="s">
        <v>54</v>
      </c>
      <c r="D180" s="21" t="s">
        <v>56</v>
      </c>
      <c r="E180" s="21" t="s">
        <v>57</v>
      </c>
      <c r="F180" s="21" t="s">
        <v>58</v>
      </c>
      <c r="G180" s="21" t="s">
        <v>59</v>
      </c>
    </row>
    <row r="181" spans="2:7" ht="13.8" thickBot="1" x14ac:dyDescent="0.3">
      <c r="B181" s="22" t="s">
        <v>13</v>
      </c>
      <c r="C181" s="23" t="s">
        <v>65</v>
      </c>
      <c r="D181" s="23">
        <v>30</v>
      </c>
      <c r="E181" s="23">
        <f>D181/D183</f>
        <v>0.6</v>
      </c>
      <c r="F181" s="51">
        <f>E181</f>
        <v>0.6</v>
      </c>
      <c r="G181" s="23">
        <f>D181</f>
        <v>30</v>
      </c>
    </row>
    <row r="182" spans="2:7" ht="13.8" thickBot="1" x14ac:dyDescent="0.3">
      <c r="B182" s="22" t="s">
        <v>26</v>
      </c>
      <c r="C182" s="23" t="s">
        <v>66</v>
      </c>
      <c r="D182" s="26">
        <v>20</v>
      </c>
      <c r="E182" s="23">
        <f>D182/D183</f>
        <v>0.4</v>
      </c>
      <c r="F182" s="51">
        <f>E182</f>
        <v>0.4</v>
      </c>
      <c r="G182" s="23">
        <f t="shared" ref="G182" si="13">G181+D182</f>
        <v>50</v>
      </c>
    </row>
    <row r="183" spans="2:7" ht="14.4" thickBot="1" x14ac:dyDescent="0.3">
      <c r="B183" s="27"/>
      <c r="C183" s="27"/>
      <c r="D183" s="29">
        <f>SUM(D181:D182)</f>
        <v>50</v>
      </c>
      <c r="E183" s="29">
        <f>SUM(E181:E182)</f>
        <v>1</v>
      </c>
      <c r="F183" s="67">
        <f>SUM(F181:F182)</f>
        <v>1</v>
      </c>
    </row>
    <row r="197" spans="2:7" x14ac:dyDescent="0.25">
      <c r="B197" t="str">
        <f>+datos!I1</f>
        <v>¿Crees que la falta de flexibilidad en los horarios de clases afectan tu desempeño académico?</v>
      </c>
    </row>
    <row r="199" spans="2:7" ht="27" thickBot="1" x14ac:dyDescent="0.3">
      <c r="B199" s="14" t="s">
        <v>44</v>
      </c>
      <c r="C199" s="15" t="s">
        <v>46</v>
      </c>
      <c r="D199" s="16" t="s">
        <v>48</v>
      </c>
      <c r="E199" s="17" t="s">
        <v>49</v>
      </c>
      <c r="F199" s="18" t="s">
        <v>50</v>
      </c>
      <c r="G199" s="16" t="s">
        <v>48</v>
      </c>
    </row>
    <row r="200" spans="2:7" ht="13.8" thickBot="1" x14ac:dyDescent="0.3">
      <c r="B200" s="66" t="s">
        <v>106</v>
      </c>
      <c r="C200" s="21" t="s">
        <v>54</v>
      </c>
      <c r="D200" s="21" t="s">
        <v>56</v>
      </c>
      <c r="E200" s="21" t="s">
        <v>57</v>
      </c>
      <c r="F200" s="21" t="s">
        <v>58</v>
      </c>
      <c r="G200" s="21" t="s">
        <v>59</v>
      </c>
    </row>
    <row r="201" spans="2:7" ht="13.8" thickBot="1" x14ac:dyDescent="0.3">
      <c r="B201" s="22" t="s">
        <v>13</v>
      </c>
      <c r="C201" s="23" t="s">
        <v>65</v>
      </c>
      <c r="D201" s="23">
        <v>38</v>
      </c>
      <c r="E201" s="23">
        <f>D201/D203</f>
        <v>0.76</v>
      </c>
      <c r="F201" s="51">
        <f>E201</f>
        <v>0.76</v>
      </c>
      <c r="G201" s="23">
        <f>D201</f>
        <v>38</v>
      </c>
    </row>
    <row r="202" spans="2:7" ht="13.8" thickBot="1" x14ac:dyDescent="0.3">
      <c r="B202" s="22" t="s">
        <v>26</v>
      </c>
      <c r="C202" s="23" t="s">
        <v>66</v>
      </c>
      <c r="D202" s="26">
        <v>12</v>
      </c>
      <c r="E202" s="23">
        <f>D202/D203</f>
        <v>0.24</v>
      </c>
      <c r="F202" s="51">
        <f>E202</f>
        <v>0.24</v>
      </c>
      <c r="G202" s="23">
        <f t="shared" ref="G202" si="14">G201+D202</f>
        <v>50</v>
      </c>
    </row>
    <row r="203" spans="2:7" ht="14.4" thickBot="1" x14ac:dyDescent="0.3">
      <c r="B203" s="27"/>
      <c r="C203" s="27"/>
      <c r="D203" s="29">
        <f>SUM(D201:D202)</f>
        <v>50</v>
      </c>
      <c r="E203" s="29">
        <f>SUM(E201:E202)</f>
        <v>1</v>
      </c>
      <c r="F203" s="67">
        <f>SUM(F201:F202)</f>
        <v>1</v>
      </c>
    </row>
    <row r="219" spans="2:7" x14ac:dyDescent="0.25">
      <c r="B219" t="str">
        <f>+datos!J1</f>
        <v>¿Has dejado de estudiar debido al cruce de horarios entre el trabajo y la universidad?</v>
      </c>
    </row>
    <row r="221" spans="2:7" ht="13.8" thickBot="1" x14ac:dyDescent="0.3"/>
    <row r="222" spans="2:7" ht="13.8" thickBot="1" x14ac:dyDescent="0.3">
      <c r="B222" s="6">
        <v>1</v>
      </c>
      <c r="C222" s="8">
        <v>2</v>
      </c>
      <c r="D222" s="8">
        <v>3</v>
      </c>
      <c r="E222" s="8">
        <v>4</v>
      </c>
      <c r="F222" s="8">
        <v>5</v>
      </c>
      <c r="G222" s="9">
        <v>6</v>
      </c>
    </row>
    <row r="223" spans="2:7" ht="27" thickBot="1" x14ac:dyDescent="0.3">
      <c r="B223" s="14" t="s">
        <v>44</v>
      </c>
      <c r="C223" s="15" t="s">
        <v>46</v>
      </c>
      <c r="D223" s="16" t="s">
        <v>48</v>
      </c>
      <c r="E223" s="17" t="s">
        <v>49</v>
      </c>
      <c r="F223" s="18" t="s">
        <v>50</v>
      </c>
      <c r="G223" s="16" t="s">
        <v>48</v>
      </c>
    </row>
    <row r="224" spans="2:7" ht="13.8" thickBot="1" x14ac:dyDescent="0.3">
      <c r="B224" s="66" t="s">
        <v>103</v>
      </c>
      <c r="C224" s="21" t="s">
        <v>54</v>
      </c>
      <c r="D224" s="21" t="s">
        <v>56</v>
      </c>
      <c r="E224" s="21" t="s">
        <v>57</v>
      </c>
      <c r="F224" s="21" t="s">
        <v>58</v>
      </c>
      <c r="G224" s="21" t="s">
        <v>59</v>
      </c>
    </row>
    <row r="225" spans="2:7" ht="24.6" thickBot="1" x14ac:dyDescent="0.3">
      <c r="B225" s="70" t="str">
        <f>+datos!J25</f>
        <v>3 o mas  veces al mes</v>
      </c>
      <c r="C225" s="25" t="s">
        <v>97</v>
      </c>
      <c r="D225" s="25">
        <v>25</v>
      </c>
      <c r="E225" s="23">
        <f>D225/D228</f>
        <v>0.5</v>
      </c>
      <c r="F225" s="64">
        <f>E225</f>
        <v>0.5</v>
      </c>
      <c r="G225" s="25">
        <f>D225</f>
        <v>25</v>
      </c>
    </row>
    <row r="226" spans="2:7" ht="24.6" thickBot="1" x14ac:dyDescent="0.3">
      <c r="B226" s="24" t="str">
        <f>+datos!J31</f>
        <v>3 o mas  veces al mes</v>
      </c>
      <c r="C226" s="25" t="s">
        <v>107</v>
      </c>
      <c r="D226" s="25">
        <v>11</v>
      </c>
      <c r="E226" s="23">
        <f>D226/D228</f>
        <v>0.22</v>
      </c>
      <c r="F226" s="64">
        <f>E226</f>
        <v>0.22</v>
      </c>
      <c r="G226" s="25">
        <f>G225+D226</f>
        <v>36</v>
      </c>
    </row>
    <row r="227" spans="2:7" ht="21" thickBot="1" x14ac:dyDescent="0.3">
      <c r="B227" s="71" t="str">
        <f>+datos!J44</f>
        <v>2 vez en el mes</v>
      </c>
      <c r="C227" s="25" t="s">
        <v>107</v>
      </c>
      <c r="D227" s="23">
        <v>14</v>
      </c>
      <c r="E227" s="23">
        <f>D227/D228</f>
        <v>0.28000000000000003</v>
      </c>
      <c r="F227" s="51">
        <f>E227</f>
        <v>0.28000000000000003</v>
      </c>
      <c r="G227" s="23">
        <f>G226+D227</f>
        <v>50</v>
      </c>
    </row>
    <row r="228" spans="2:7" ht="14.4" thickBot="1" x14ac:dyDescent="0.3">
      <c r="B228" s="27"/>
      <c r="C228" s="27"/>
      <c r="D228" s="29">
        <f>SUM(D225:D227)</f>
        <v>50</v>
      </c>
      <c r="E228" s="29">
        <f>SUM(E225:E227)</f>
        <v>1</v>
      </c>
      <c r="F228" s="65">
        <f>SUM(F225:F227)</f>
        <v>1</v>
      </c>
    </row>
    <row r="246" spans="2:17" x14ac:dyDescent="0.25">
      <c r="B246" s="92" t="s">
        <v>108</v>
      </c>
    </row>
    <row r="247" spans="2:17" ht="13.8" thickBot="1" x14ac:dyDescent="0.3"/>
    <row r="248" spans="2:17" ht="13.8" thickBot="1" x14ac:dyDescent="0.3">
      <c r="Q248" s="73">
        <v>100</v>
      </c>
    </row>
    <row r="249" spans="2:17" ht="13.8" thickBot="1" x14ac:dyDescent="0.3">
      <c r="B249" s="73">
        <v>100</v>
      </c>
      <c r="C249" s="74">
        <v>100</v>
      </c>
      <c r="D249" s="74">
        <v>500</v>
      </c>
      <c r="E249" s="74">
        <v>220</v>
      </c>
      <c r="F249" s="75">
        <v>190</v>
      </c>
      <c r="H249" s="157" t="s">
        <v>33</v>
      </c>
      <c r="I249" s="158"/>
      <c r="N249">
        <f>_xlfn.VAR.P(Q247:Q297)</f>
        <v>17506.304400000001</v>
      </c>
      <c r="Q249" s="73">
        <v>137</v>
      </c>
    </row>
    <row r="250" spans="2:17" ht="13.8" thickBot="1" x14ac:dyDescent="0.3">
      <c r="B250" s="73">
        <v>137</v>
      </c>
      <c r="C250" s="74">
        <v>400</v>
      </c>
      <c r="D250" s="74">
        <v>500</v>
      </c>
      <c r="E250" s="74">
        <v>350</v>
      </c>
      <c r="F250" s="75">
        <v>300</v>
      </c>
      <c r="H250" s="43" t="s">
        <v>34</v>
      </c>
      <c r="I250" s="46">
        <f>COUNT(B249:F258)</f>
        <v>50</v>
      </c>
      <c r="L250" s="49" t="s">
        <v>41</v>
      </c>
      <c r="N250">
        <f>_xlfn.VAR.P(Q248:Q297)</f>
        <v>17506.304400000001</v>
      </c>
      <c r="Q250" s="73">
        <v>150</v>
      </c>
    </row>
    <row r="251" spans="2:17" ht="13.8" thickBot="1" x14ac:dyDescent="0.3">
      <c r="B251" s="73">
        <v>150</v>
      </c>
      <c r="C251" s="74">
        <v>290</v>
      </c>
      <c r="D251" s="74">
        <v>300</v>
      </c>
      <c r="E251" s="74">
        <v>250</v>
      </c>
      <c r="F251" s="75">
        <v>230</v>
      </c>
      <c r="H251" s="44" t="s">
        <v>35</v>
      </c>
      <c r="I251" s="47">
        <f>MIN(B249:F258)</f>
        <v>100</v>
      </c>
      <c r="K251" s="50" t="s">
        <v>41</v>
      </c>
      <c r="O251" s="49" t="s">
        <v>41</v>
      </c>
      <c r="Q251" s="73">
        <v>120</v>
      </c>
    </row>
    <row r="252" spans="2:17" ht="13.8" thickBot="1" x14ac:dyDescent="0.3">
      <c r="B252" s="73">
        <v>120</v>
      </c>
      <c r="C252" s="74">
        <v>400</v>
      </c>
      <c r="D252" s="74">
        <v>250</v>
      </c>
      <c r="E252" s="74">
        <v>300</v>
      </c>
      <c r="F252" s="75">
        <v>100</v>
      </c>
      <c r="H252" s="44" t="s">
        <v>36</v>
      </c>
      <c r="I252" s="47">
        <f>MAX(B249:F258)</f>
        <v>600</v>
      </c>
      <c r="K252" s="50" t="s">
        <v>41</v>
      </c>
      <c r="L252" s="49" t="s">
        <v>41</v>
      </c>
      <c r="Q252" s="73">
        <v>200</v>
      </c>
    </row>
    <row r="253" spans="2:17" ht="13.8" thickBot="1" x14ac:dyDescent="0.3">
      <c r="B253" s="73">
        <v>200</v>
      </c>
      <c r="C253" s="74">
        <v>220</v>
      </c>
      <c r="D253" s="74">
        <v>150</v>
      </c>
      <c r="E253" s="74">
        <v>300</v>
      </c>
      <c r="F253" s="75">
        <v>115</v>
      </c>
      <c r="H253" s="44" t="s">
        <v>37</v>
      </c>
      <c r="I253" s="47">
        <f>I252-I251</f>
        <v>500</v>
      </c>
      <c r="K253" s="50" t="s">
        <v>41</v>
      </c>
      <c r="L253" s="49" t="s">
        <v>41</v>
      </c>
      <c r="Q253" s="73">
        <v>350</v>
      </c>
    </row>
    <row r="254" spans="2:17" ht="13.8" thickBot="1" x14ac:dyDescent="0.3">
      <c r="B254" s="73">
        <v>350</v>
      </c>
      <c r="C254" s="74">
        <v>120</v>
      </c>
      <c r="D254" s="74">
        <v>260</v>
      </c>
      <c r="E254" s="74">
        <v>160</v>
      </c>
      <c r="F254" s="75">
        <v>250</v>
      </c>
      <c r="H254" s="44" t="s">
        <v>38</v>
      </c>
      <c r="I254" s="47">
        <f>ROUNDUP(1+3.322*LOG(I250),0)</f>
        <v>7</v>
      </c>
      <c r="K254" s="50" t="s">
        <v>41</v>
      </c>
      <c r="L254" s="49" t="s">
        <v>40</v>
      </c>
      <c r="Q254" s="73">
        <v>500</v>
      </c>
    </row>
    <row r="255" spans="2:17" ht="13.8" thickBot="1" x14ac:dyDescent="0.3">
      <c r="B255" s="73">
        <v>500</v>
      </c>
      <c r="C255" s="74">
        <v>150</v>
      </c>
      <c r="D255" s="74">
        <v>480</v>
      </c>
      <c r="E255" s="74">
        <v>150</v>
      </c>
      <c r="F255" s="75">
        <v>320</v>
      </c>
      <c r="H255" s="45" t="s">
        <v>39</v>
      </c>
      <c r="I255" s="76">
        <f>I253/I254</f>
        <v>71.428571428571431</v>
      </c>
      <c r="K255" s="50" t="s">
        <v>41</v>
      </c>
      <c r="L255" s="49" t="s">
        <v>41</v>
      </c>
      <c r="Q255" s="73">
        <v>280</v>
      </c>
    </row>
    <row r="256" spans="2:17" ht="13.8" thickBot="1" x14ac:dyDescent="0.3">
      <c r="B256" s="73">
        <v>280</v>
      </c>
      <c r="C256" s="74">
        <v>400</v>
      </c>
      <c r="D256" s="74">
        <v>180</v>
      </c>
      <c r="E256" s="74">
        <v>420</v>
      </c>
      <c r="F256" s="75">
        <v>500</v>
      </c>
      <c r="K256" s="50" t="s">
        <v>41</v>
      </c>
      <c r="L256" s="49" t="s">
        <v>40</v>
      </c>
      <c r="Q256" s="73">
        <v>220</v>
      </c>
    </row>
    <row r="257" spans="2:17" ht="13.8" thickBot="1" x14ac:dyDescent="0.3">
      <c r="B257" s="73">
        <v>220</v>
      </c>
      <c r="C257" s="74">
        <v>350</v>
      </c>
      <c r="D257" s="74">
        <v>370</v>
      </c>
      <c r="E257" s="74">
        <v>200</v>
      </c>
      <c r="F257" s="75">
        <v>600</v>
      </c>
      <c r="H257" s="159" t="s">
        <v>91</v>
      </c>
      <c r="I257" s="160"/>
      <c r="K257" s="49" t="s">
        <v>86</v>
      </c>
      <c r="L257" s="49" t="s">
        <v>41</v>
      </c>
      <c r="Q257" s="73">
        <v>210</v>
      </c>
    </row>
    <row r="258" spans="2:17" ht="13.8" thickBot="1" x14ac:dyDescent="0.3">
      <c r="B258" s="73">
        <v>210</v>
      </c>
      <c r="C258" s="74">
        <v>123</v>
      </c>
      <c r="D258" s="74">
        <v>103</v>
      </c>
      <c r="E258" s="74">
        <v>510</v>
      </c>
      <c r="F258" s="75">
        <v>155</v>
      </c>
      <c r="H258" s="58" t="s">
        <v>87</v>
      </c>
      <c r="I258" s="59">
        <f>P274/I250</f>
        <v>272.85714285714289</v>
      </c>
      <c r="Q258" s="74">
        <v>100</v>
      </c>
    </row>
    <row r="259" spans="2:17" ht="13.8" thickBot="1" x14ac:dyDescent="0.3">
      <c r="G259" s="83"/>
      <c r="H259" s="58" t="s">
        <v>88</v>
      </c>
      <c r="I259" s="82">
        <f>C269+(((I250/2)-J268)/G269)*I255</f>
        <v>250.00000000000003</v>
      </c>
      <c r="Q259" s="74">
        <v>400</v>
      </c>
    </row>
    <row r="260" spans="2:17" ht="13.8" thickBot="1" x14ac:dyDescent="0.3">
      <c r="H260" s="58" t="s">
        <v>89</v>
      </c>
      <c r="I260" s="82">
        <f>C267+((G267-0)/((G267-0)+(G267-G268)))*I255</f>
        <v>151.0204081632653</v>
      </c>
      <c r="J260" s="84"/>
      <c r="Q260" s="74">
        <v>290</v>
      </c>
    </row>
    <row r="261" spans="2:17" ht="13.8" thickBot="1" x14ac:dyDescent="0.3">
      <c r="Q261" s="74">
        <v>400</v>
      </c>
    </row>
    <row r="262" spans="2:17" ht="13.8" thickBot="1" x14ac:dyDescent="0.3">
      <c r="Q262" s="74">
        <v>220</v>
      </c>
    </row>
    <row r="263" spans="2:17" ht="13.8" thickBot="1" x14ac:dyDescent="0.3">
      <c r="B263" s="6">
        <v>1</v>
      </c>
      <c r="C263" s="7"/>
      <c r="D263" s="7">
        <v>2</v>
      </c>
      <c r="E263" s="8">
        <v>4</v>
      </c>
      <c r="F263" s="8">
        <v>5</v>
      </c>
      <c r="G263" s="8">
        <v>6</v>
      </c>
      <c r="H263" s="8">
        <v>7</v>
      </c>
      <c r="I263" s="8">
        <v>8</v>
      </c>
      <c r="J263" s="9">
        <v>9</v>
      </c>
      <c r="K263" s="9">
        <v>10</v>
      </c>
      <c r="L263" s="9">
        <v>11</v>
      </c>
      <c r="M263" s="9">
        <v>12</v>
      </c>
      <c r="N263" s="9">
        <v>13</v>
      </c>
      <c r="O263" s="9">
        <v>14</v>
      </c>
      <c r="Q263" s="74">
        <v>120</v>
      </c>
    </row>
    <row r="264" spans="2:17" ht="13.8" thickBot="1" x14ac:dyDescent="0.3">
      <c r="B264" s="10"/>
      <c r="C264" s="11"/>
      <c r="D264" s="11" t="s">
        <v>40</v>
      </c>
      <c r="E264" s="12" t="s">
        <v>40</v>
      </c>
      <c r="F264" s="12" t="s">
        <v>41</v>
      </c>
      <c r="G264" s="12" t="s">
        <v>40</v>
      </c>
      <c r="H264" s="12" t="s">
        <v>41</v>
      </c>
      <c r="I264" s="13" t="s">
        <v>41</v>
      </c>
      <c r="J264" s="161" t="s">
        <v>42</v>
      </c>
      <c r="K264" s="161"/>
      <c r="L264" s="162"/>
      <c r="M264" s="165" t="s">
        <v>43</v>
      </c>
      <c r="N264" s="161"/>
      <c r="O264" s="162"/>
      <c r="Q264" s="74">
        <v>150</v>
      </c>
    </row>
    <row r="265" spans="2:17" ht="27" thickBot="1" x14ac:dyDescent="0.3">
      <c r="B265" s="14" t="s">
        <v>44</v>
      </c>
      <c r="C265" s="163" t="s">
        <v>45</v>
      </c>
      <c r="D265" s="164"/>
      <c r="E265" s="15" t="s">
        <v>46</v>
      </c>
      <c r="F265" s="15" t="s">
        <v>47</v>
      </c>
      <c r="G265" s="16" t="s">
        <v>48</v>
      </c>
      <c r="H265" s="17" t="s">
        <v>49</v>
      </c>
      <c r="I265" s="18" t="s">
        <v>50</v>
      </c>
      <c r="J265" s="16" t="s">
        <v>48</v>
      </c>
      <c r="K265" s="17" t="s">
        <v>49</v>
      </c>
      <c r="L265" s="18" t="s">
        <v>50</v>
      </c>
      <c r="M265" s="16" t="s">
        <v>48</v>
      </c>
      <c r="N265" s="17" t="s">
        <v>49</v>
      </c>
      <c r="O265" s="18" t="s">
        <v>50</v>
      </c>
      <c r="Q265" s="74">
        <v>400</v>
      </c>
    </row>
    <row r="266" spans="2:17" ht="13.8" thickBot="1" x14ac:dyDescent="0.3">
      <c r="B266" s="19" t="s">
        <v>51</v>
      </c>
      <c r="C266" s="20" t="s">
        <v>52</v>
      </c>
      <c r="D266" s="21" t="s">
        <v>53</v>
      </c>
      <c r="E266" s="21" t="s">
        <v>54</v>
      </c>
      <c r="F266" s="21" t="s">
        <v>55</v>
      </c>
      <c r="G266" s="21" t="s">
        <v>56</v>
      </c>
      <c r="H266" s="21" t="s">
        <v>57</v>
      </c>
      <c r="I266" s="21" t="s">
        <v>58</v>
      </c>
      <c r="J266" s="21" t="s">
        <v>59</v>
      </c>
      <c r="K266" s="21" t="s">
        <v>60</v>
      </c>
      <c r="L266" s="21" t="s">
        <v>61</v>
      </c>
      <c r="M266" s="21" t="s">
        <v>62</v>
      </c>
      <c r="N266" s="21" t="s">
        <v>63</v>
      </c>
      <c r="O266" s="21" t="s">
        <v>64</v>
      </c>
      <c r="P266" s="31" t="s">
        <v>90</v>
      </c>
      <c r="Q266" s="74">
        <v>350</v>
      </c>
    </row>
    <row r="267" spans="2:17" ht="13.8" thickBot="1" x14ac:dyDescent="0.3">
      <c r="B267" s="22">
        <v>1</v>
      </c>
      <c r="C267" s="23">
        <f>I251</f>
        <v>100</v>
      </c>
      <c r="D267" s="77">
        <f>C267+$I$255</f>
        <v>171.42857142857144</v>
      </c>
      <c r="E267" s="23" t="s">
        <v>65</v>
      </c>
      <c r="F267" s="80">
        <f>(C267+D267)/2</f>
        <v>135.71428571428572</v>
      </c>
      <c r="G267" s="33">
        <v>15</v>
      </c>
      <c r="H267" s="23">
        <f>G267/G274</f>
        <v>0.3</v>
      </c>
      <c r="I267" s="51">
        <f>H267</f>
        <v>0.3</v>
      </c>
      <c r="J267" s="23">
        <f>G267</f>
        <v>15</v>
      </c>
      <c r="K267" s="23">
        <f>H267</f>
        <v>0.3</v>
      </c>
      <c r="L267" s="23">
        <f>I267</f>
        <v>0.3</v>
      </c>
      <c r="M267" s="23">
        <f t="shared" ref="M267:M272" si="15">M268+G267</f>
        <v>50</v>
      </c>
      <c r="N267" s="23">
        <f t="shared" ref="N267:N272" si="16">N268+H267</f>
        <v>1</v>
      </c>
      <c r="O267" s="23">
        <f t="shared" ref="O267:O272" si="17">O268+I267</f>
        <v>1</v>
      </c>
      <c r="P267" s="57">
        <f>F267*G267</f>
        <v>2035.7142857142858</v>
      </c>
      <c r="Q267" s="74">
        <v>123</v>
      </c>
    </row>
    <row r="268" spans="2:17" ht="13.8" thickBot="1" x14ac:dyDescent="0.3">
      <c r="B268" s="24">
        <v>2</v>
      </c>
      <c r="C268" s="78">
        <f>D267</f>
        <v>171.42857142857144</v>
      </c>
      <c r="D268" s="77">
        <f t="shared" ref="D268:D273" si="18">C268+$I$255</f>
        <v>242.85714285714289</v>
      </c>
      <c r="E268" s="25" t="s">
        <v>67</v>
      </c>
      <c r="F268" s="81">
        <f t="shared" ref="F268:F273" si="19">(C268+D268)/2</f>
        <v>207.14285714285717</v>
      </c>
      <c r="G268" s="79">
        <v>9</v>
      </c>
      <c r="H268" s="25">
        <f>G268/G274</f>
        <v>0.18</v>
      </c>
      <c r="I268" s="64">
        <f t="shared" ref="I268:I273" si="20">H268</f>
        <v>0.18</v>
      </c>
      <c r="J268" s="25">
        <f t="shared" ref="J268:J273" si="21">J267+G268</f>
        <v>24</v>
      </c>
      <c r="K268" s="25">
        <f t="shared" ref="K268:K273" si="22">K267+H268</f>
        <v>0.48</v>
      </c>
      <c r="L268" s="25">
        <f t="shared" ref="L268:L273" si="23">L267+I268</f>
        <v>0.48</v>
      </c>
      <c r="M268" s="25">
        <f t="shared" si="15"/>
        <v>35</v>
      </c>
      <c r="N268" s="25">
        <f t="shared" si="16"/>
        <v>0.7</v>
      </c>
      <c r="O268" s="25">
        <f t="shared" si="17"/>
        <v>0.7</v>
      </c>
      <c r="P268" s="57">
        <f t="shared" ref="P268:P273" si="24">F268*G268</f>
        <v>1864.2857142857144</v>
      </c>
      <c r="Q268" s="74">
        <v>500</v>
      </c>
    </row>
    <row r="269" spans="2:17" ht="13.8" thickBot="1" x14ac:dyDescent="0.3">
      <c r="B269" s="87">
        <v>3</v>
      </c>
      <c r="C269" s="88">
        <f t="shared" ref="C269:C273" si="25">D268</f>
        <v>242.85714285714289</v>
      </c>
      <c r="D269" s="88">
        <f t="shared" si="18"/>
        <v>314.28571428571433</v>
      </c>
      <c r="E269" s="86" t="s">
        <v>82</v>
      </c>
      <c r="F269" s="89">
        <f t="shared" si="19"/>
        <v>278.57142857142861</v>
      </c>
      <c r="G269" s="90">
        <v>10</v>
      </c>
      <c r="H269" s="86">
        <f>G269/G274</f>
        <v>0.2</v>
      </c>
      <c r="I269" s="91">
        <f t="shared" si="20"/>
        <v>0.2</v>
      </c>
      <c r="J269" s="86">
        <f t="shared" si="21"/>
        <v>34</v>
      </c>
      <c r="K269" s="23">
        <f t="shared" si="22"/>
        <v>0.67999999999999994</v>
      </c>
      <c r="L269" s="23">
        <f t="shared" si="23"/>
        <v>0.67999999999999994</v>
      </c>
      <c r="M269" s="23">
        <f t="shared" si="15"/>
        <v>26</v>
      </c>
      <c r="N269" s="23">
        <f t="shared" si="16"/>
        <v>0.52</v>
      </c>
      <c r="O269" s="23">
        <f t="shared" si="17"/>
        <v>0.52</v>
      </c>
      <c r="P269" s="57">
        <f t="shared" si="24"/>
        <v>2785.7142857142862</v>
      </c>
      <c r="Q269" s="74">
        <v>500</v>
      </c>
    </row>
    <row r="270" spans="2:17" ht="13.8" thickBot="1" x14ac:dyDescent="0.3">
      <c r="B270" s="24">
        <v>4</v>
      </c>
      <c r="C270" s="78">
        <f t="shared" si="25"/>
        <v>314.28571428571433</v>
      </c>
      <c r="D270" s="77">
        <f t="shared" si="18"/>
        <v>385.71428571428578</v>
      </c>
      <c r="E270" s="25" t="s">
        <v>83</v>
      </c>
      <c r="F270" s="30">
        <f t="shared" si="19"/>
        <v>350.00000000000006</v>
      </c>
      <c r="G270" s="33">
        <v>5</v>
      </c>
      <c r="H270" s="25">
        <f>G270/G274</f>
        <v>0.1</v>
      </c>
      <c r="I270" s="51">
        <f t="shared" si="20"/>
        <v>0.1</v>
      </c>
      <c r="J270" s="25">
        <f t="shared" si="21"/>
        <v>39</v>
      </c>
      <c r="K270" s="25">
        <f t="shared" si="22"/>
        <v>0.77999999999999992</v>
      </c>
      <c r="L270" s="25">
        <f t="shared" si="23"/>
        <v>0.77999999999999992</v>
      </c>
      <c r="M270" s="25">
        <f t="shared" si="15"/>
        <v>16</v>
      </c>
      <c r="N270" s="25">
        <f t="shared" si="16"/>
        <v>0.31999999999999995</v>
      </c>
      <c r="O270" s="25">
        <f t="shared" si="17"/>
        <v>0.31999999999999995</v>
      </c>
      <c r="P270" s="57">
        <f t="shared" si="24"/>
        <v>1750.0000000000002</v>
      </c>
      <c r="Q270" s="74">
        <v>300</v>
      </c>
    </row>
    <row r="271" spans="2:17" ht="13.8" thickBot="1" x14ac:dyDescent="0.3">
      <c r="B271" s="24">
        <v>5</v>
      </c>
      <c r="C271" s="78">
        <f t="shared" si="25"/>
        <v>385.71428571428578</v>
      </c>
      <c r="D271" s="77">
        <f t="shared" si="18"/>
        <v>457.14285714285722</v>
      </c>
      <c r="E271" s="23" t="s">
        <v>84</v>
      </c>
      <c r="F271" s="80">
        <f t="shared" si="19"/>
        <v>421.4285714285715</v>
      </c>
      <c r="G271" s="33">
        <v>4</v>
      </c>
      <c r="H271" s="23">
        <f>G271/G274</f>
        <v>0.08</v>
      </c>
      <c r="I271" s="51">
        <f t="shared" si="20"/>
        <v>0.08</v>
      </c>
      <c r="J271" s="23">
        <f t="shared" si="21"/>
        <v>43</v>
      </c>
      <c r="K271" s="23">
        <f t="shared" si="22"/>
        <v>0.85999999999999988</v>
      </c>
      <c r="L271" s="23">
        <f t="shared" si="23"/>
        <v>0.85999999999999988</v>
      </c>
      <c r="M271" s="23">
        <f t="shared" si="15"/>
        <v>11</v>
      </c>
      <c r="N271" s="23">
        <f t="shared" si="16"/>
        <v>0.21999999999999997</v>
      </c>
      <c r="O271" s="23">
        <f t="shared" si="17"/>
        <v>0.21999999999999997</v>
      </c>
      <c r="P271" s="57">
        <f t="shared" si="24"/>
        <v>1685.714285714286</v>
      </c>
      <c r="Q271" s="74">
        <v>250</v>
      </c>
    </row>
    <row r="272" spans="2:17" ht="13.8" thickBot="1" x14ac:dyDescent="0.3">
      <c r="B272" s="24">
        <v>6</v>
      </c>
      <c r="C272" s="78">
        <f t="shared" si="25"/>
        <v>457.14285714285722</v>
      </c>
      <c r="D272" s="77">
        <f t="shared" si="18"/>
        <v>528.57142857142867</v>
      </c>
      <c r="E272" s="23" t="s">
        <v>85</v>
      </c>
      <c r="F272" s="80">
        <f t="shared" si="19"/>
        <v>492.85714285714295</v>
      </c>
      <c r="G272" s="34">
        <v>6</v>
      </c>
      <c r="H272" s="23">
        <f>G272/G274</f>
        <v>0.12</v>
      </c>
      <c r="I272" s="51">
        <f t="shared" si="20"/>
        <v>0.12</v>
      </c>
      <c r="J272" s="23">
        <f t="shared" si="21"/>
        <v>49</v>
      </c>
      <c r="K272" s="23">
        <f t="shared" si="22"/>
        <v>0.97999999999999987</v>
      </c>
      <c r="L272" s="23">
        <f t="shared" si="23"/>
        <v>0.97999999999999987</v>
      </c>
      <c r="M272" s="23">
        <f t="shared" si="15"/>
        <v>7</v>
      </c>
      <c r="N272" s="23">
        <f t="shared" si="16"/>
        <v>0.13999999999999999</v>
      </c>
      <c r="O272" s="23">
        <f t="shared" si="17"/>
        <v>0.13999999999999999</v>
      </c>
      <c r="P272" s="57">
        <f t="shared" si="24"/>
        <v>2957.1428571428578</v>
      </c>
      <c r="Q272" s="74">
        <v>150</v>
      </c>
    </row>
    <row r="273" spans="2:17" ht="13.8" thickBot="1" x14ac:dyDescent="0.3">
      <c r="B273" s="24">
        <v>7</v>
      </c>
      <c r="C273" s="78">
        <f t="shared" si="25"/>
        <v>528.57142857142867</v>
      </c>
      <c r="D273" s="77">
        <f t="shared" si="18"/>
        <v>600.00000000000011</v>
      </c>
      <c r="E273" s="23" t="s">
        <v>68</v>
      </c>
      <c r="F273" s="80">
        <f t="shared" si="19"/>
        <v>564.28571428571445</v>
      </c>
      <c r="G273" s="33">
        <v>1</v>
      </c>
      <c r="H273" s="23">
        <f>G273/G274</f>
        <v>0.02</v>
      </c>
      <c r="I273" s="51">
        <f t="shared" si="20"/>
        <v>0.02</v>
      </c>
      <c r="J273" s="23">
        <f t="shared" si="21"/>
        <v>50</v>
      </c>
      <c r="K273" s="23">
        <f t="shared" si="22"/>
        <v>0.99999999999999989</v>
      </c>
      <c r="L273" s="23">
        <f t="shared" si="23"/>
        <v>0.99999999999999989</v>
      </c>
      <c r="M273" s="23">
        <f>G273</f>
        <v>1</v>
      </c>
      <c r="N273" s="23">
        <f>H273</f>
        <v>0.02</v>
      </c>
      <c r="O273" s="23">
        <f>I273</f>
        <v>0.02</v>
      </c>
      <c r="P273" s="57">
        <f t="shared" si="24"/>
        <v>564.28571428571445</v>
      </c>
      <c r="Q273" s="74">
        <v>260</v>
      </c>
    </row>
    <row r="274" spans="2:17" ht="14.4" thickBot="1" x14ac:dyDescent="0.3">
      <c r="B274" s="27"/>
      <c r="C274" s="27"/>
      <c r="D274" s="27"/>
      <c r="E274" s="27"/>
      <c r="F274" s="27"/>
      <c r="G274" s="32">
        <f>SUM(G267:G273)</f>
        <v>50</v>
      </c>
      <c r="H274" s="29">
        <f>SUM(H267:H273)</f>
        <v>0.99999999999999989</v>
      </c>
      <c r="I274" s="52">
        <f>SUM(I267:I273)</f>
        <v>0.99999999999999989</v>
      </c>
      <c r="J274" s="27"/>
      <c r="K274" s="27"/>
      <c r="L274" s="27"/>
      <c r="M274" s="27"/>
      <c r="N274" s="27"/>
      <c r="O274" s="27"/>
      <c r="P274" s="57">
        <f>SUM(P267:P273)</f>
        <v>13642.857142857145</v>
      </c>
      <c r="Q274" s="74">
        <v>480</v>
      </c>
    </row>
    <row r="275" spans="2:17" ht="13.8" thickBot="1" x14ac:dyDescent="0.3">
      <c r="Q275" s="74">
        <v>180</v>
      </c>
    </row>
    <row r="276" spans="2:17" ht="13.8" thickBot="1" x14ac:dyDescent="0.3">
      <c r="Q276" s="74">
        <v>370</v>
      </c>
    </row>
    <row r="277" spans="2:17" ht="13.8" thickBot="1" x14ac:dyDescent="0.3">
      <c r="N277" s="128">
        <f>_xlfn.STDEV.P(Q248:Q297)</f>
        <v>132.31139179979931</v>
      </c>
      <c r="Q277" s="74">
        <v>103</v>
      </c>
    </row>
    <row r="278" spans="2:17" ht="13.8" thickBot="1" x14ac:dyDescent="0.3">
      <c r="Q278" s="74">
        <v>220</v>
      </c>
    </row>
    <row r="279" spans="2:17" ht="13.8" thickBot="1" x14ac:dyDescent="0.3">
      <c r="N279" s="153"/>
      <c r="O279" s="154"/>
      <c r="Q279" s="74">
        <v>350</v>
      </c>
    </row>
    <row r="280" spans="2:17" ht="13.8" thickBot="1" x14ac:dyDescent="0.3">
      <c r="Q280" s="74">
        <v>250</v>
      </c>
    </row>
    <row r="281" spans="2:17" ht="13.8" thickBot="1" x14ac:dyDescent="0.3">
      <c r="Q281" s="74">
        <v>300</v>
      </c>
    </row>
    <row r="282" spans="2:17" ht="13.8" thickBot="1" x14ac:dyDescent="0.3">
      <c r="Q282" s="74">
        <v>300</v>
      </c>
    </row>
    <row r="283" spans="2:17" ht="13.8" thickBot="1" x14ac:dyDescent="0.3">
      <c r="Q283" s="74">
        <v>160</v>
      </c>
    </row>
    <row r="284" spans="2:17" ht="13.8" thickBot="1" x14ac:dyDescent="0.3">
      <c r="Q284" s="74">
        <v>150</v>
      </c>
    </row>
    <row r="285" spans="2:17" ht="13.8" thickBot="1" x14ac:dyDescent="0.3">
      <c r="Q285" s="74">
        <v>420</v>
      </c>
    </row>
    <row r="286" spans="2:17" ht="13.8" thickBot="1" x14ac:dyDescent="0.3">
      <c r="Q286" s="74">
        <v>200</v>
      </c>
    </row>
    <row r="287" spans="2:17" ht="13.8" thickBot="1" x14ac:dyDescent="0.3">
      <c r="Q287" s="74">
        <v>510</v>
      </c>
    </row>
    <row r="288" spans="2:17" ht="13.8" thickBot="1" x14ac:dyDescent="0.3">
      <c r="Q288" s="75">
        <v>190</v>
      </c>
    </row>
    <row r="289" spans="17:17" ht="13.8" thickBot="1" x14ac:dyDescent="0.3">
      <c r="Q289" s="75">
        <v>300</v>
      </c>
    </row>
    <row r="290" spans="17:17" ht="13.8" thickBot="1" x14ac:dyDescent="0.3">
      <c r="Q290" s="75">
        <v>230</v>
      </c>
    </row>
    <row r="291" spans="17:17" ht="13.8" thickBot="1" x14ac:dyDescent="0.3">
      <c r="Q291" s="75">
        <v>100</v>
      </c>
    </row>
    <row r="292" spans="17:17" ht="13.8" thickBot="1" x14ac:dyDescent="0.3">
      <c r="Q292" s="75">
        <v>115</v>
      </c>
    </row>
    <row r="293" spans="17:17" ht="13.8" thickBot="1" x14ac:dyDescent="0.3">
      <c r="Q293" s="75">
        <v>250</v>
      </c>
    </row>
    <row r="294" spans="17:17" ht="13.8" thickBot="1" x14ac:dyDescent="0.3">
      <c r="Q294" s="75">
        <v>320</v>
      </c>
    </row>
    <row r="295" spans="17:17" ht="13.8" thickBot="1" x14ac:dyDescent="0.3">
      <c r="Q295" s="75">
        <v>500</v>
      </c>
    </row>
    <row r="296" spans="17:17" ht="13.8" thickBot="1" x14ac:dyDescent="0.3">
      <c r="Q296" s="75">
        <v>600</v>
      </c>
    </row>
    <row r="297" spans="17:17" x14ac:dyDescent="0.25">
      <c r="Q297" s="75">
        <v>155</v>
      </c>
    </row>
  </sheetData>
  <sortState ref="J6:J11">
    <sortCondition ref="J6"/>
  </sortState>
  <mergeCells count="11">
    <mergeCell ref="C265:D265"/>
    <mergeCell ref="J19:L19"/>
    <mergeCell ref="M19:O19"/>
    <mergeCell ref="C20:D20"/>
    <mergeCell ref="N279:O279"/>
    <mergeCell ref="M264:O264"/>
    <mergeCell ref="H4:I4"/>
    <mergeCell ref="H12:I12"/>
    <mergeCell ref="H249:I249"/>
    <mergeCell ref="H257:I257"/>
    <mergeCell ref="J264:L26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012FB-D4AD-40EE-B784-225DEE4883FA}">
  <sheetPr>
    <tabColor theme="7" tint="0.59999389629810485"/>
  </sheetPr>
  <dimension ref="A1:M38"/>
  <sheetViews>
    <sheetView workbookViewId="0">
      <selection activeCell="M26" sqref="M26"/>
    </sheetView>
  </sheetViews>
  <sheetFormatPr baseColWidth="10" defaultRowHeight="13.2" x14ac:dyDescent="0.25"/>
  <cols>
    <col min="1" max="1" width="22.5546875" customWidth="1"/>
    <col min="2" max="2" width="9.5546875" customWidth="1"/>
    <col min="3" max="3" width="17.33203125" customWidth="1"/>
    <col min="4" max="4" width="5.109375" customWidth="1"/>
    <col min="5" max="5" width="9" customWidth="1"/>
    <col min="6" max="6" width="10.5546875" customWidth="1"/>
    <col min="7" max="7" width="12.33203125" customWidth="1"/>
  </cols>
  <sheetData>
    <row r="1" spans="1:10" ht="13.8" thickBot="1" x14ac:dyDescent="0.3">
      <c r="A1" s="107" t="str">
        <f>+D3</f>
        <v>¿Cual es tu edad?</v>
      </c>
      <c r="B1" s="108"/>
    </row>
    <row r="2" spans="1:10" ht="13.8" thickBot="1" x14ac:dyDescent="0.3">
      <c r="A2" s="153" t="s">
        <v>120</v>
      </c>
      <c r="B2" s="154"/>
    </row>
    <row r="3" spans="1:10" x14ac:dyDescent="0.25">
      <c r="A3" s="111" t="s">
        <v>69</v>
      </c>
      <c r="B3" s="112">
        <v>23.16</v>
      </c>
      <c r="D3" t="str">
        <f>+datos!B1</f>
        <v>¿Cual es tu edad?</v>
      </c>
    </row>
    <row r="4" spans="1:10" x14ac:dyDescent="0.25">
      <c r="A4" s="113" t="s">
        <v>70</v>
      </c>
      <c r="B4" s="114">
        <v>0.53935713812740071</v>
      </c>
    </row>
    <row r="5" spans="1:10" ht="13.8" thickBot="1" x14ac:dyDescent="0.3">
      <c r="A5" s="113" t="s">
        <v>71</v>
      </c>
      <c r="B5" s="115">
        <v>22.5</v>
      </c>
      <c r="F5" t="s">
        <v>40</v>
      </c>
      <c r="G5" t="s">
        <v>41</v>
      </c>
      <c r="H5" t="s">
        <v>40</v>
      </c>
      <c r="I5" t="s">
        <v>41</v>
      </c>
      <c r="J5" t="s">
        <v>41</v>
      </c>
    </row>
    <row r="6" spans="1:10" ht="13.8" customHeight="1" x14ac:dyDescent="0.25">
      <c r="A6" s="113" t="s">
        <v>72</v>
      </c>
      <c r="B6" s="115">
        <v>20</v>
      </c>
      <c r="D6" s="155" t="s">
        <v>44</v>
      </c>
      <c r="E6" s="155" t="s">
        <v>45</v>
      </c>
      <c r="F6" s="100" t="s">
        <v>47</v>
      </c>
      <c r="G6" s="100" t="s">
        <v>48</v>
      </c>
      <c r="H6" s="101" t="s">
        <v>41</v>
      </c>
      <c r="I6" s="101" t="s">
        <v>41</v>
      </c>
      <c r="J6" s="101" t="s">
        <v>41</v>
      </c>
    </row>
    <row r="7" spans="1:10" ht="13.8" thickBot="1" x14ac:dyDescent="0.3">
      <c r="A7" s="113" t="s">
        <v>73</v>
      </c>
      <c r="B7" s="114">
        <v>3.8138308985125446</v>
      </c>
      <c r="D7" s="156"/>
      <c r="E7" s="156"/>
      <c r="F7" s="102" t="s">
        <v>55</v>
      </c>
      <c r="G7" s="102" t="s">
        <v>56</v>
      </c>
      <c r="H7" s="102" t="s">
        <v>116</v>
      </c>
      <c r="I7" s="102" t="s">
        <v>117</v>
      </c>
      <c r="J7" s="102" t="s">
        <v>118</v>
      </c>
    </row>
    <row r="8" spans="1:10" ht="13.8" thickBot="1" x14ac:dyDescent="0.3">
      <c r="A8" s="113" t="s">
        <v>74</v>
      </c>
      <c r="B8" s="114">
        <v>14.545306122449004</v>
      </c>
      <c r="D8" s="94">
        <v>1</v>
      </c>
      <c r="E8" s="95" t="s">
        <v>109</v>
      </c>
      <c r="F8" s="95">
        <v>20</v>
      </c>
      <c r="G8" s="95">
        <v>22</v>
      </c>
      <c r="H8" s="95">
        <f t="shared" ref="H8:H14" si="0">G8*F8</f>
        <v>440</v>
      </c>
      <c r="I8" s="95">
        <f>POWER((F8-B3),2)</f>
        <v>9.9856000000000016</v>
      </c>
      <c r="J8" s="96">
        <f t="shared" ref="J8:J14" si="1">I8*G8</f>
        <v>219.68320000000003</v>
      </c>
    </row>
    <row r="9" spans="1:10" ht="13.8" thickBot="1" x14ac:dyDescent="0.3">
      <c r="A9" s="113" t="s">
        <v>75</v>
      </c>
      <c r="B9" s="114">
        <v>-0.20479433156620974</v>
      </c>
      <c r="D9" s="97">
        <v>2</v>
      </c>
      <c r="E9" s="93" t="s">
        <v>110</v>
      </c>
      <c r="F9" s="93">
        <v>22</v>
      </c>
      <c r="G9" s="93">
        <v>6</v>
      </c>
      <c r="H9" s="93">
        <f t="shared" si="0"/>
        <v>132</v>
      </c>
      <c r="I9" s="95">
        <f>POWER((F9-B3),2)</f>
        <v>1.3456000000000004</v>
      </c>
      <c r="J9" s="96">
        <f t="shared" si="1"/>
        <v>8.0736000000000026</v>
      </c>
    </row>
    <row r="10" spans="1:10" ht="13.8" thickBot="1" x14ac:dyDescent="0.3">
      <c r="A10" s="113" t="s">
        <v>76</v>
      </c>
      <c r="B10" s="114">
        <v>0.82380446875078728</v>
      </c>
      <c r="D10" s="97">
        <v>3</v>
      </c>
      <c r="E10" s="93" t="s">
        <v>111</v>
      </c>
      <c r="F10" s="93">
        <v>24</v>
      </c>
      <c r="G10" s="93">
        <v>10</v>
      </c>
      <c r="H10" s="93">
        <f t="shared" si="0"/>
        <v>240</v>
      </c>
      <c r="I10" s="95">
        <f>POWER((F10-B3),2)</f>
        <v>0.70559999999999978</v>
      </c>
      <c r="J10" s="96">
        <f t="shared" si="1"/>
        <v>7.0559999999999974</v>
      </c>
    </row>
    <row r="11" spans="1:10" ht="13.8" thickBot="1" x14ac:dyDescent="0.3">
      <c r="A11" s="113" t="s">
        <v>77</v>
      </c>
      <c r="B11" s="115">
        <v>14</v>
      </c>
      <c r="D11" s="97">
        <v>4</v>
      </c>
      <c r="E11" s="93" t="s">
        <v>112</v>
      </c>
      <c r="F11" s="93">
        <v>26</v>
      </c>
      <c r="G11" s="93">
        <v>5</v>
      </c>
      <c r="H11" s="93">
        <f t="shared" si="0"/>
        <v>130</v>
      </c>
      <c r="I11" s="95">
        <f>POWER((F11-B3),2)</f>
        <v>8.0655999999999999</v>
      </c>
      <c r="J11" s="96">
        <f t="shared" si="1"/>
        <v>40.328000000000003</v>
      </c>
    </row>
    <row r="12" spans="1:10" ht="13.8" thickBot="1" x14ac:dyDescent="0.3">
      <c r="A12" s="113" t="s">
        <v>78</v>
      </c>
      <c r="B12" s="115">
        <v>19</v>
      </c>
      <c r="D12" s="97">
        <v>5</v>
      </c>
      <c r="E12" s="93" t="s">
        <v>113</v>
      </c>
      <c r="F12" s="93">
        <v>28</v>
      </c>
      <c r="G12" s="93">
        <v>2</v>
      </c>
      <c r="H12" s="93">
        <f t="shared" si="0"/>
        <v>56</v>
      </c>
      <c r="I12" s="95">
        <f>POWER((F12-B3),2)</f>
        <v>23.425599999999999</v>
      </c>
      <c r="J12" s="96">
        <f t="shared" si="1"/>
        <v>46.851199999999999</v>
      </c>
    </row>
    <row r="13" spans="1:10" ht="13.8" thickBot="1" x14ac:dyDescent="0.3">
      <c r="A13" s="113" t="s">
        <v>79</v>
      </c>
      <c r="B13" s="115">
        <v>33</v>
      </c>
      <c r="D13" s="97">
        <v>6</v>
      </c>
      <c r="E13" s="93" t="s">
        <v>114</v>
      </c>
      <c r="F13" s="93">
        <v>30</v>
      </c>
      <c r="G13" s="93">
        <v>4</v>
      </c>
      <c r="H13" s="93">
        <f t="shared" si="0"/>
        <v>120</v>
      </c>
      <c r="I13" s="95">
        <f>POWER((F13-B3),2)</f>
        <v>46.785599999999995</v>
      </c>
      <c r="J13" s="96">
        <f t="shared" si="1"/>
        <v>187.14239999999998</v>
      </c>
    </row>
    <row r="14" spans="1:10" ht="13.8" thickBot="1" x14ac:dyDescent="0.3">
      <c r="A14" s="113" t="s">
        <v>80</v>
      </c>
      <c r="B14" s="115">
        <v>1158</v>
      </c>
      <c r="D14" s="98">
        <v>7</v>
      </c>
      <c r="E14" s="99" t="s">
        <v>115</v>
      </c>
      <c r="F14" s="99">
        <v>33</v>
      </c>
      <c r="G14" s="99">
        <v>1</v>
      </c>
      <c r="H14" s="99">
        <f t="shared" si="0"/>
        <v>33</v>
      </c>
      <c r="I14" s="95">
        <f>POWER((F14-B3),2)</f>
        <v>96.825599999999994</v>
      </c>
      <c r="J14" s="96">
        <f t="shared" si="1"/>
        <v>96.825599999999994</v>
      </c>
    </row>
    <row r="15" spans="1:10" ht="13.8" thickBot="1" x14ac:dyDescent="0.3">
      <c r="A15" s="116" t="s">
        <v>81</v>
      </c>
      <c r="B15" s="117">
        <v>50</v>
      </c>
      <c r="G15" s="103">
        <v>50</v>
      </c>
      <c r="H15" s="104">
        <v>1158</v>
      </c>
      <c r="I15" s="105">
        <f t="shared" ref="I15" si="2">SUM(I8:I14)</f>
        <v>187.13920000000002</v>
      </c>
      <c r="J15" s="104">
        <f>SUM(J8:J14)</f>
        <v>605.96</v>
      </c>
    </row>
    <row r="16" spans="1:10" x14ac:dyDescent="0.25">
      <c r="C16" s="106" t="s">
        <v>119</v>
      </c>
    </row>
    <row r="17" spans="1:13" x14ac:dyDescent="0.25">
      <c r="J17" s="92" t="s">
        <v>41</v>
      </c>
    </row>
    <row r="18" spans="1:13" x14ac:dyDescent="0.25">
      <c r="E18" s="92"/>
      <c r="F18" s="92" t="s">
        <v>41</v>
      </c>
      <c r="H18" s="92" t="s">
        <v>41</v>
      </c>
      <c r="J18" s="92" t="s">
        <v>41</v>
      </c>
    </row>
    <row r="19" spans="1:13" x14ac:dyDescent="0.25">
      <c r="F19" s="92"/>
      <c r="G19" s="92"/>
      <c r="H19" s="92"/>
    </row>
    <row r="21" spans="1:13" x14ac:dyDescent="0.25">
      <c r="E21" s="92" t="s">
        <v>41</v>
      </c>
    </row>
    <row r="23" spans="1:13" ht="13.8" thickBot="1" x14ac:dyDescent="0.3">
      <c r="A23" t="s">
        <v>108</v>
      </c>
    </row>
    <row r="24" spans="1:13" ht="13.8" thickBot="1" x14ac:dyDescent="0.3">
      <c r="A24" s="153" t="s">
        <v>120</v>
      </c>
      <c r="B24" s="154"/>
    </row>
    <row r="25" spans="1:13" ht="13.8" thickBot="1" x14ac:dyDescent="0.3">
      <c r="A25" s="118"/>
      <c r="B25" s="119"/>
    </row>
    <row r="26" spans="1:13" x14ac:dyDescent="0.25">
      <c r="A26" s="109" t="s">
        <v>69</v>
      </c>
      <c r="B26" s="109">
        <v>270.66000000000003</v>
      </c>
      <c r="D26" s="155" t="s">
        <v>44</v>
      </c>
      <c r="E26" s="155" t="s">
        <v>45</v>
      </c>
      <c r="F26" s="100" t="s">
        <v>47</v>
      </c>
      <c r="G26" s="100" t="s">
        <v>48</v>
      </c>
      <c r="H26" s="101" t="s">
        <v>41</v>
      </c>
      <c r="I26" s="101" t="s">
        <v>41</v>
      </c>
      <c r="J26" s="101" t="s">
        <v>41</v>
      </c>
      <c r="L26" s="128"/>
      <c r="M26" s="128"/>
    </row>
    <row r="27" spans="1:13" ht="13.8" thickBot="1" x14ac:dyDescent="0.3">
      <c r="A27" s="109" t="s">
        <v>70</v>
      </c>
      <c r="B27" s="110">
        <v>18.901627399971332</v>
      </c>
      <c r="D27" s="156"/>
      <c r="E27" s="156"/>
      <c r="F27" s="102" t="s">
        <v>55</v>
      </c>
      <c r="G27" s="102" t="s">
        <v>56</v>
      </c>
      <c r="H27" s="102" t="s">
        <v>116</v>
      </c>
      <c r="I27" s="102" t="s">
        <v>117</v>
      </c>
      <c r="J27" s="102" t="s">
        <v>118</v>
      </c>
      <c r="L27" s="128"/>
      <c r="M27" s="128"/>
    </row>
    <row r="28" spans="1:13" ht="13.8" thickBot="1" x14ac:dyDescent="0.3">
      <c r="A28" s="109" t="s">
        <v>71</v>
      </c>
      <c r="B28" s="109">
        <v>250</v>
      </c>
      <c r="D28" s="94">
        <v>1</v>
      </c>
      <c r="E28" s="95" t="s">
        <v>121</v>
      </c>
      <c r="F28" s="125">
        <f>(100+171)/2</f>
        <v>135.5</v>
      </c>
      <c r="G28" s="95">
        <v>15</v>
      </c>
      <c r="H28" s="126">
        <f>G28*F28</f>
        <v>2032.5</v>
      </c>
      <c r="I28" s="95">
        <f>POWER((F28-B23),2)</f>
        <v>18360.25</v>
      </c>
      <c r="J28" s="96">
        <f t="shared" ref="J28:J34" si="3">I28*G28</f>
        <v>275403.75</v>
      </c>
      <c r="L28" s="128"/>
      <c r="M28" s="128"/>
    </row>
    <row r="29" spans="1:13" ht="13.8" thickBot="1" x14ac:dyDescent="0.3">
      <c r="A29" s="109" t="s">
        <v>72</v>
      </c>
      <c r="B29" s="109">
        <v>150</v>
      </c>
      <c r="D29" s="97">
        <v>2</v>
      </c>
      <c r="E29" s="93" t="s">
        <v>122</v>
      </c>
      <c r="F29" s="125">
        <f>(171+243)/2</f>
        <v>207</v>
      </c>
      <c r="G29" s="93">
        <v>9</v>
      </c>
      <c r="H29" s="123">
        <f t="shared" ref="H29:H34" si="4">G29*F29</f>
        <v>1863</v>
      </c>
      <c r="I29" s="95">
        <f>POWER((F29-B23),2)</f>
        <v>42849</v>
      </c>
      <c r="J29" s="96">
        <f t="shared" si="3"/>
        <v>385641</v>
      </c>
      <c r="L29" s="128"/>
      <c r="M29" s="128"/>
    </row>
    <row r="30" spans="1:13" ht="13.8" thickBot="1" x14ac:dyDescent="0.3">
      <c r="A30" s="109" t="s">
        <v>73</v>
      </c>
      <c r="B30" s="110">
        <v>133.6546890998118</v>
      </c>
      <c r="D30" s="97">
        <v>3</v>
      </c>
      <c r="E30" s="93" t="s">
        <v>123</v>
      </c>
      <c r="F30" s="125">
        <f>(243+314)/2</f>
        <v>278.5</v>
      </c>
      <c r="G30" s="93">
        <v>10</v>
      </c>
      <c r="H30" s="123">
        <f t="shared" si="4"/>
        <v>2785</v>
      </c>
      <c r="I30" s="95">
        <f>POWER((F30-B23),2)</f>
        <v>77562.25</v>
      </c>
      <c r="J30" s="96">
        <f t="shared" si="3"/>
        <v>775622.5</v>
      </c>
      <c r="L30" s="128"/>
      <c r="M30" s="128"/>
    </row>
    <row r="31" spans="1:13" ht="13.8" thickBot="1" x14ac:dyDescent="0.3">
      <c r="A31" s="109" t="s">
        <v>74</v>
      </c>
      <c r="B31" s="122">
        <v>17863.575918367351</v>
      </c>
      <c r="D31" s="97">
        <v>4</v>
      </c>
      <c r="E31" s="93" t="s">
        <v>124</v>
      </c>
      <c r="F31" s="125">
        <f>(314+386)/2</f>
        <v>350</v>
      </c>
      <c r="G31" s="93">
        <v>5</v>
      </c>
      <c r="H31" s="93">
        <f t="shared" si="4"/>
        <v>1750</v>
      </c>
      <c r="I31" s="95">
        <f>POWER((F31-B23),2)</f>
        <v>122500</v>
      </c>
      <c r="J31" s="96">
        <f t="shared" si="3"/>
        <v>612500</v>
      </c>
      <c r="L31" s="128"/>
      <c r="M31" s="128"/>
    </row>
    <row r="32" spans="1:13" ht="13.8" thickBot="1" x14ac:dyDescent="0.3">
      <c r="A32" s="109" t="s">
        <v>75</v>
      </c>
      <c r="B32" s="110">
        <v>-0.53878390292896317</v>
      </c>
      <c r="D32" s="97">
        <v>5</v>
      </c>
      <c r="E32" s="93" t="s">
        <v>125</v>
      </c>
      <c r="F32" s="125">
        <f>(386+457)/2</f>
        <v>421.5</v>
      </c>
      <c r="G32" s="93">
        <v>4</v>
      </c>
      <c r="H32" s="123">
        <f t="shared" si="4"/>
        <v>1686</v>
      </c>
      <c r="I32" s="95">
        <f>POWER((F32-B23),2)</f>
        <v>177662.25</v>
      </c>
      <c r="J32" s="96">
        <f t="shared" si="3"/>
        <v>710649</v>
      </c>
      <c r="L32" s="128"/>
      <c r="M32" s="128"/>
    </row>
    <row r="33" spans="1:10" ht="13.8" thickBot="1" x14ac:dyDescent="0.3">
      <c r="A33" s="109" t="s">
        <v>76</v>
      </c>
      <c r="B33" s="110">
        <v>0.63155770469008909</v>
      </c>
      <c r="D33" s="97">
        <v>6</v>
      </c>
      <c r="E33" s="93" t="s">
        <v>126</v>
      </c>
      <c r="F33" s="125">
        <f>(457+529)/2</f>
        <v>493</v>
      </c>
      <c r="G33" s="93">
        <v>6</v>
      </c>
      <c r="H33" s="123">
        <f t="shared" si="4"/>
        <v>2958</v>
      </c>
      <c r="I33" s="95">
        <f>POWER((F33-B23),2)</f>
        <v>243049</v>
      </c>
      <c r="J33" s="96">
        <f t="shared" si="3"/>
        <v>1458294</v>
      </c>
    </row>
    <row r="34" spans="1:10" ht="13.8" thickBot="1" x14ac:dyDescent="0.3">
      <c r="A34" s="109" t="s">
        <v>77</v>
      </c>
      <c r="B34" s="109">
        <v>500</v>
      </c>
      <c r="D34" s="98">
        <v>7</v>
      </c>
      <c r="E34" s="99" t="s">
        <v>127</v>
      </c>
      <c r="F34" s="125">
        <f>(529+600)/2</f>
        <v>564.5</v>
      </c>
      <c r="G34" s="99">
        <v>1</v>
      </c>
      <c r="H34" s="124">
        <f t="shared" si="4"/>
        <v>564.5</v>
      </c>
      <c r="I34" s="95">
        <f>POWER((F34-B23),2)</f>
        <v>318660.25</v>
      </c>
      <c r="J34" s="96">
        <f t="shared" si="3"/>
        <v>318660.25</v>
      </c>
    </row>
    <row r="35" spans="1:10" ht="13.8" thickBot="1" x14ac:dyDescent="0.3">
      <c r="A35" s="109" t="s">
        <v>78</v>
      </c>
      <c r="B35" s="109">
        <v>100</v>
      </c>
      <c r="G35" s="103">
        <v>50</v>
      </c>
      <c r="H35" s="104">
        <f>SUM(H28:H34)</f>
        <v>13639</v>
      </c>
      <c r="I35" s="105">
        <f t="shared" ref="I35" si="5">SUM(I28:I34)</f>
        <v>1000643</v>
      </c>
      <c r="J35" s="104">
        <f>SUM(J28:J34)</f>
        <v>4536770.5</v>
      </c>
    </row>
    <row r="36" spans="1:10" x14ac:dyDescent="0.25">
      <c r="A36" s="109" t="s">
        <v>79</v>
      </c>
      <c r="B36" s="109">
        <v>600</v>
      </c>
    </row>
    <row r="37" spans="1:10" x14ac:dyDescent="0.25">
      <c r="A37" s="109" t="s">
        <v>80</v>
      </c>
      <c r="B37" s="109">
        <v>13533</v>
      </c>
    </row>
    <row r="38" spans="1:10" x14ac:dyDescent="0.25">
      <c r="A38" s="109" t="s">
        <v>81</v>
      </c>
      <c r="B38" s="109">
        <v>50</v>
      </c>
    </row>
  </sheetData>
  <mergeCells count="6">
    <mergeCell ref="A2:B2"/>
    <mergeCell ref="D26:D27"/>
    <mergeCell ref="E26:E27"/>
    <mergeCell ref="A24:B24"/>
    <mergeCell ref="D6:D7"/>
    <mergeCell ref="E6:E7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36BD5-9664-4194-9334-F5F5202962F1}">
  <dimension ref="A1:H128"/>
  <sheetViews>
    <sheetView showGridLines="0" topLeftCell="A100" workbookViewId="0">
      <selection activeCell="Q107" sqref="Q107"/>
    </sheetView>
  </sheetViews>
  <sheetFormatPr baseColWidth="10" defaultRowHeight="13.2" x14ac:dyDescent="0.25"/>
  <cols>
    <col min="1" max="2" width="11.5546875" style="92"/>
    <col min="3" max="3" width="8.88671875" style="92" bestFit="1" customWidth="1"/>
    <col min="4" max="4" width="9.33203125" style="92" bestFit="1" customWidth="1"/>
    <col min="5" max="8" width="7.77734375" style="92" customWidth="1"/>
    <col min="9" max="16384" width="11.5546875" style="92"/>
  </cols>
  <sheetData>
    <row r="1" spans="1:5" x14ac:dyDescent="0.25">
      <c r="A1" s="92" t="s">
        <v>41</v>
      </c>
    </row>
    <row r="11" spans="1:5" x14ac:dyDescent="0.25">
      <c r="E11" s="135">
        <v>3</v>
      </c>
    </row>
    <row r="25" spans="1:8" ht="15" x14ac:dyDescent="0.25">
      <c r="A25" s="136" t="s">
        <v>133</v>
      </c>
    </row>
    <row r="26" spans="1:8" x14ac:dyDescent="0.25">
      <c r="C26" s="129" t="s">
        <v>134</v>
      </c>
      <c r="D26" s="129" t="s">
        <v>135</v>
      </c>
      <c r="E26" s="130" t="s">
        <v>136</v>
      </c>
      <c r="F26" s="130" t="s">
        <v>137</v>
      </c>
      <c r="G26" s="130" t="s">
        <v>138</v>
      </c>
      <c r="H26" s="130" t="s">
        <v>139</v>
      </c>
    </row>
    <row r="27" spans="1:8" x14ac:dyDescent="0.25">
      <c r="C27" s="140">
        <v>0.15865525393145699</v>
      </c>
      <c r="D27" s="137">
        <v>0.84134474606854304</v>
      </c>
      <c r="E27" s="138">
        <v>-1</v>
      </c>
      <c r="F27" s="139">
        <v>19</v>
      </c>
      <c r="G27" s="139">
        <v>23</v>
      </c>
      <c r="H27" s="139">
        <v>4</v>
      </c>
    </row>
    <row r="28" spans="1:8" x14ac:dyDescent="0.25">
      <c r="C28" s="140">
        <v>0.84134474606854304</v>
      </c>
      <c r="D28" s="137">
        <v>0.15865525393145696</v>
      </c>
      <c r="E28" s="138">
        <v>1</v>
      </c>
      <c r="F28" s="139">
        <v>27</v>
      </c>
      <c r="G28" s="139">
        <v>23</v>
      </c>
      <c r="H28" s="139">
        <v>4</v>
      </c>
    </row>
    <row r="29" spans="1:8" x14ac:dyDescent="0.25">
      <c r="C29" s="129"/>
      <c r="D29" s="129"/>
      <c r="E29" s="130"/>
      <c r="F29" s="130"/>
      <c r="G29" s="130"/>
      <c r="H29" s="130"/>
    </row>
    <row r="30" spans="1:8" x14ac:dyDescent="0.25">
      <c r="C30" s="129"/>
      <c r="D30" s="129"/>
      <c r="E30" s="130"/>
      <c r="F30" s="130"/>
      <c r="G30" s="130"/>
      <c r="H30" s="130"/>
    </row>
    <row r="31" spans="1:8" x14ac:dyDescent="0.25">
      <c r="C31" s="129"/>
      <c r="D31" s="129"/>
      <c r="E31" s="130"/>
      <c r="F31" s="130"/>
      <c r="G31" s="130"/>
      <c r="H31" s="130"/>
    </row>
    <row r="32" spans="1:8" x14ac:dyDescent="0.25">
      <c r="C32" s="129"/>
      <c r="D32" s="129"/>
      <c r="E32" s="130"/>
      <c r="F32" s="130"/>
      <c r="G32" s="130"/>
      <c r="H32" s="130"/>
    </row>
    <row r="33" spans="1:5" x14ac:dyDescent="0.25">
      <c r="A33" s="92" t="s">
        <v>41</v>
      </c>
    </row>
    <row r="39" spans="1:5" x14ac:dyDescent="0.25">
      <c r="B39" s="148"/>
    </row>
    <row r="43" spans="1:5" x14ac:dyDescent="0.25">
      <c r="E43" s="135">
        <v>3</v>
      </c>
    </row>
    <row r="57" spans="1:8" ht="15" x14ac:dyDescent="0.25">
      <c r="A57" s="136" t="s">
        <v>133</v>
      </c>
    </row>
    <row r="58" spans="1:8" x14ac:dyDescent="0.25">
      <c r="C58" s="129" t="s">
        <v>134</v>
      </c>
      <c r="D58" s="129" t="s">
        <v>135</v>
      </c>
      <c r="E58" s="130" t="s">
        <v>136</v>
      </c>
      <c r="F58" s="130" t="s">
        <v>137</v>
      </c>
      <c r="G58" s="130" t="s">
        <v>138</v>
      </c>
      <c r="H58" s="130" t="s">
        <v>139</v>
      </c>
    </row>
    <row r="59" spans="1:8" x14ac:dyDescent="0.25">
      <c r="C59" s="140">
        <v>0.30853753872598688</v>
      </c>
      <c r="D59" s="137">
        <v>0.69146246127401312</v>
      </c>
      <c r="E59" s="138">
        <v>-0.5</v>
      </c>
      <c r="F59" s="139">
        <v>21</v>
      </c>
      <c r="G59" s="139">
        <v>23</v>
      </c>
      <c r="H59" s="139">
        <v>4</v>
      </c>
    </row>
    <row r="60" spans="1:8" x14ac:dyDescent="0.25">
      <c r="C60" s="140">
        <v>0.84134474606854304</v>
      </c>
      <c r="D60" s="137">
        <v>0.15865525393145696</v>
      </c>
      <c r="E60" s="138">
        <v>1</v>
      </c>
      <c r="F60" s="139">
        <v>27</v>
      </c>
      <c r="G60" s="139">
        <v>23</v>
      </c>
      <c r="H60" s="139">
        <v>4</v>
      </c>
    </row>
    <row r="61" spans="1:8" x14ac:dyDescent="0.25">
      <c r="C61" s="129"/>
      <c r="D61" s="129"/>
      <c r="E61" s="130"/>
      <c r="F61" s="130"/>
      <c r="G61" s="130"/>
      <c r="H61" s="130"/>
    </row>
    <row r="62" spans="1:8" x14ac:dyDescent="0.25">
      <c r="C62" s="129"/>
      <c r="D62" s="129"/>
      <c r="E62" s="130"/>
      <c r="F62" s="130"/>
      <c r="G62" s="130"/>
      <c r="H62" s="130"/>
    </row>
    <row r="63" spans="1:8" x14ac:dyDescent="0.25">
      <c r="C63" s="129"/>
      <c r="D63" s="129"/>
      <c r="E63" s="130"/>
      <c r="F63" s="130"/>
      <c r="G63" s="130"/>
      <c r="H63" s="130"/>
    </row>
    <row r="64" spans="1:8" x14ac:dyDescent="0.25">
      <c r="C64" s="129"/>
      <c r="D64" s="129"/>
      <c r="E64" s="130"/>
      <c r="F64" s="130"/>
      <c r="G64" s="130"/>
      <c r="H64" s="130"/>
    </row>
    <row r="65" spans="1:5" x14ac:dyDescent="0.25">
      <c r="A65" s="92" t="s">
        <v>41</v>
      </c>
    </row>
    <row r="75" spans="1:5" x14ac:dyDescent="0.25">
      <c r="E75" s="135">
        <v>3</v>
      </c>
    </row>
    <row r="89" spans="1:8" ht="15" x14ac:dyDescent="0.25">
      <c r="A89" s="136" t="s">
        <v>133</v>
      </c>
    </row>
    <row r="90" spans="1:8" x14ac:dyDescent="0.25">
      <c r="C90" s="129" t="s">
        <v>134</v>
      </c>
      <c r="D90" s="129" t="s">
        <v>135</v>
      </c>
      <c r="E90" s="130" t="s">
        <v>136</v>
      </c>
      <c r="F90" s="130" t="s">
        <v>137</v>
      </c>
      <c r="G90" s="130" t="s">
        <v>138</v>
      </c>
      <c r="H90" s="130" t="s">
        <v>139</v>
      </c>
    </row>
    <row r="91" spans="1:8" x14ac:dyDescent="0.25">
      <c r="C91" s="140">
        <v>0.4012936743170763</v>
      </c>
      <c r="D91" s="137">
        <v>0.5987063256829237</v>
      </c>
      <c r="E91" s="138">
        <v>-0.25</v>
      </c>
      <c r="F91" s="139">
        <v>22</v>
      </c>
      <c r="G91" s="139">
        <v>23</v>
      </c>
      <c r="H91" s="139">
        <v>4</v>
      </c>
    </row>
    <row r="92" spans="1:8" x14ac:dyDescent="0.25">
      <c r="C92" s="140">
        <v>0.69146246127401312</v>
      </c>
      <c r="D92" s="137">
        <v>0.30853753872598688</v>
      </c>
      <c r="E92" s="138">
        <v>0.5</v>
      </c>
      <c r="F92" s="139">
        <v>25</v>
      </c>
      <c r="G92" s="139">
        <v>23</v>
      </c>
      <c r="H92" s="139">
        <v>4</v>
      </c>
    </row>
    <row r="93" spans="1:8" x14ac:dyDescent="0.25">
      <c r="C93" s="129"/>
      <c r="D93" s="129"/>
      <c r="E93" s="130"/>
      <c r="F93" s="130"/>
      <c r="G93" s="130"/>
      <c r="H93" s="130"/>
    </row>
    <row r="94" spans="1:8" x14ac:dyDescent="0.25">
      <c r="C94" s="129"/>
      <c r="D94" s="129"/>
      <c r="E94" s="130"/>
      <c r="F94" s="130"/>
      <c r="G94" s="130"/>
      <c r="H94" s="130"/>
    </row>
    <row r="95" spans="1:8" x14ac:dyDescent="0.25">
      <c r="C95" s="129"/>
      <c r="D95" s="129"/>
      <c r="E95" s="130"/>
      <c r="F95" s="130"/>
      <c r="G95" s="130"/>
      <c r="H95" s="130"/>
    </row>
    <row r="96" spans="1:8" x14ac:dyDescent="0.25">
      <c r="C96" s="129"/>
      <c r="D96" s="129"/>
      <c r="E96" s="130"/>
      <c r="F96" s="130"/>
      <c r="G96" s="130"/>
      <c r="H96" s="130"/>
    </row>
    <row r="97" spans="1:5" x14ac:dyDescent="0.25">
      <c r="A97" s="92" t="s">
        <v>41</v>
      </c>
    </row>
    <row r="107" spans="1:5" x14ac:dyDescent="0.25">
      <c r="E107" s="135">
        <v>2</v>
      </c>
    </row>
    <row r="121" spans="1:8" ht="15" x14ac:dyDescent="0.25">
      <c r="A121" s="136" t="s">
        <v>133</v>
      </c>
    </row>
    <row r="122" spans="1:8" x14ac:dyDescent="0.25">
      <c r="C122" s="129" t="s">
        <v>134</v>
      </c>
      <c r="D122" s="129" t="s">
        <v>135</v>
      </c>
      <c r="E122" s="130" t="s">
        <v>136</v>
      </c>
      <c r="F122" s="130" t="s">
        <v>137</v>
      </c>
      <c r="G122" s="130" t="s">
        <v>138</v>
      </c>
      <c r="H122" s="130" t="s">
        <v>139</v>
      </c>
    </row>
    <row r="123" spans="1:8" x14ac:dyDescent="0.25">
      <c r="C123" s="140">
        <v>0.72016553640029413</v>
      </c>
      <c r="D123" s="137">
        <v>0.27983446359970587</v>
      </c>
      <c r="E123" s="138">
        <v>0.58333333333333304</v>
      </c>
      <c r="F123" s="139">
        <v>350</v>
      </c>
      <c r="G123" s="139">
        <v>273</v>
      </c>
      <c r="H123" s="139">
        <v>132</v>
      </c>
    </row>
    <row r="124" spans="1:8" x14ac:dyDescent="0.25">
      <c r="C124" s="129"/>
      <c r="D124" s="129"/>
      <c r="E124" s="130"/>
      <c r="F124" s="130"/>
      <c r="G124" s="130"/>
      <c r="H124" s="130"/>
    </row>
    <row r="125" spans="1:8" x14ac:dyDescent="0.25">
      <c r="C125" s="129"/>
      <c r="D125" s="129"/>
      <c r="E125" s="130"/>
      <c r="F125" s="130"/>
      <c r="G125" s="130"/>
      <c r="H125" s="130"/>
    </row>
    <row r="126" spans="1:8" x14ac:dyDescent="0.25">
      <c r="C126" s="129"/>
      <c r="D126" s="129"/>
      <c r="E126" s="130"/>
      <c r="F126" s="130"/>
      <c r="G126" s="130"/>
      <c r="H126" s="130"/>
    </row>
    <row r="127" spans="1:8" x14ac:dyDescent="0.25">
      <c r="C127" s="129"/>
      <c r="D127" s="129"/>
      <c r="E127" s="130"/>
      <c r="F127" s="130"/>
      <c r="G127" s="130"/>
      <c r="H127" s="130"/>
    </row>
    <row r="128" spans="1:8" x14ac:dyDescent="0.25">
      <c r="C128" s="129"/>
      <c r="D128" s="129"/>
      <c r="E128" s="130"/>
      <c r="F128" s="130"/>
      <c r="G128" s="130"/>
      <c r="H128" s="130"/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C627B-1D49-49AC-B602-66C492BF8107}">
  <dimension ref="B3:H46"/>
  <sheetViews>
    <sheetView workbookViewId="0">
      <selection activeCell="B41" sqref="B41:C41"/>
    </sheetView>
  </sheetViews>
  <sheetFormatPr baseColWidth="10" defaultRowHeight="13.2" x14ac:dyDescent="0.25"/>
  <sheetData>
    <row r="3" spans="2:8" x14ac:dyDescent="0.25">
      <c r="B3" s="92" t="s">
        <v>142</v>
      </c>
    </row>
    <row r="4" spans="2:8" x14ac:dyDescent="0.25">
      <c r="B4" t="s">
        <v>128</v>
      </c>
    </row>
    <row r="6" spans="2:8" ht="13.8" thickBot="1" x14ac:dyDescent="0.3"/>
    <row r="7" spans="2:8" x14ac:dyDescent="0.25">
      <c r="B7" s="166" t="s">
        <v>129</v>
      </c>
      <c r="C7" s="167"/>
      <c r="F7" s="127">
        <f>_xlfn.NORM.DIST(29,23,4,TRUE)</f>
        <v>0.93319279873114191</v>
      </c>
      <c r="G7" s="141">
        <f>1-F7</f>
        <v>6.6807201268858085E-2</v>
      </c>
      <c r="H7" s="128">
        <f>G7*50</f>
        <v>3.3403600634429043</v>
      </c>
    </row>
    <row r="8" spans="2:8" x14ac:dyDescent="0.25">
      <c r="B8" s="93"/>
      <c r="C8" s="93"/>
    </row>
    <row r="9" spans="2:8" ht="15" x14ac:dyDescent="0.25">
      <c r="B9" s="131" t="s">
        <v>130</v>
      </c>
      <c r="C9" s="93">
        <f xml:space="preserve"> 23</f>
        <v>23</v>
      </c>
    </row>
    <row r="10" spans="2:8" ht="17.399999999999999" x14ac:dyDescent="0.3">
      <c r="B10" s="132" t="s">
        <v>119</v>
      </c>
      <c r="C10" s="93">
        <v>4</v>
      </c>
    </row>
    <row r="11" spans="2:8" ht="13.8" x14ac:dyDescent="0.25">
      <c r="B11" s="133" t="s">
        <v>131</v>
      </c>
      <c r="C11" s="134" t="s">
        <v>132</v>
      </c>
    </row>
    <row r="12" spans="2:8" x14ac:dyDescent="0.25">
      <c r="C12" s="92" t="s">
        <v>41</v>
      </c>
    </row>
    <row r="24" spans="2:8" x14ac:dyDescent="0.25">
      <c r="B24" s="92" t="s">
        <v>140</v>
      </c>
    </row>
    <row r="25" spans="2:8" ht="13.8" thickBot="1" x14ac:dyDescent="0.3"/>
    <row r="26" spans="2:8" x14ac:dyDescent="0.25">
      <c r="B26" s="166" t="s">
        <v>129</v>
      </c>
      <c r="C26" s="167"/>
      <c r="F26" s="127">
        <f>_xlfn.NORM.DIST(21,23,4,TRUE)</f>
        <v>0.30853753872598688</v>
      </c>
      <c r="G26" s="127">
        <f>1-F26</f>
        <v>0.69146246127401312</v>
      </c>
      <c r="H26" s="128">
        <f>G26*50</f>
        <v>34.573123063700656</v>
      </c>
    </row>
    <row r="27" spans="2:8" x14ac:dyDescent="0.25">
      <c r="B27" s="93"/>
      <c r="C27" s="93"/>
    </row>
    <row r="28" spans="2:8" ht="15" x14ac:dyDescent="0.25">
      <c r="B28" s="131" t="s">
        <v>130</v>
      </c>
      <c r="C28" s="93">
        <f xml:space="preserve"> 23</f>
        <v>23</v>
      </c>
    </row>
    <row r="29" spans="2:8" ht="17.399999999999999" x14ac:dyDescent="0.3">
      <c r="B29" s="132" t="s">
        <v>119</v>
      </c>
      <c r="C29" s="93">
        <v>4</v>
      </c>
    </row>
    <row r="30" spans="2:8" ht="14.4" x14ac:dyDescent="0.3">
      <c r="B30" s="133" t="s">
        <v>131</v>
      </c>
      <c r="C30" s="134" t="s">
        <v>141</v>
      </c>
    </row>
    <row r="39" spans="2:8" x14ac:dyDescent="0.25">
      <c r="B39" s="92" t="s">
        <v>143</v>
      </c>
    </row>
    <row r="40" spans="2:8" ht="13.8" thickBot="1" x14ac:dyDescent="0.3"/>
    <row r="41" spans="2:8" x14ac:dyDescent="0.25">
      <c r="B41" s="166" t="s">
        <v>129</v>
      </c>
      <c r="C41" s="167"/>
      <c r="F41" s="127">
        <f>_xlfn.NORM.DIST(22,23,4,TRUE)</f>
        <v>0.4012936743170763</v>
      </c>
      <c r="G41" s="127">
        <f>1-F41</f>
        <v>0.5987063256829237</v>
      </c>
      <c r="H41" s="128">
        <f>G41*-50</f>
        <v>-29.935316284146186</v>
      </c>
    </row>
    <row r="42" spans="2:8" x14ac:dyDescent="0.25">
      <c r="B42" s="93"/>
      <c r="C42" s="93"/>
    </row>
    <row r="43" spans="2:8" ht="15" x14ac:dyDescent="0.25">
      <c r="B43" s="131" t="s">
        <v>130</v>
      </c>
      <c r="C43" s="93">
        <f xml:space="preserve"> 23</f>
        <v>23</v>
      </c>
    </row>
    <row r="44" spans="2:8" ht="17.399999999999999" x14ac:dyDescent="0.3">
      <c r="B44" s="132" t="s">
        <v>119</v>
      </c>
      <c r="C44" s="93">
        <v>4</v>
      </c>
      <c r="F44" s="127">
        <f>_xlfn.NORM.DIST(25,23,4,TRUE)</f>
        <v>0.69146246127401312</v>
      </c>
      <c r="G44" s="127">
        <f>1-F44</f>
        <v>0.30853753872598688</v>
      </c>
      <c r="H44" s="128">
        <f>G44*50</f>
        <v>15.426876936299344</v>
      </c>
    </row>
    <row r="45" spans="2:8" ht="15" thickBot="1" x14ac:dyDescent="0.35">
      <c r="B45" s="133" t="s">
        <v>131</v>
      </c>
      <c r="C45" s="134" t="s">
        <v>144</v>
      </c>
    </row>
    <row r="46" spans="2:8" ht="13.8" thickBot="1" x14ac:dyDescent="0.3">
      <c r="F46" s="149">
        <f>F41-F44</f>
        <v>-0.29016878695693682</v>
      </c>
      <c r="G46" s="150">
        <f>G41-G44</f>
        <v>0.29016878695693682</v>
      </c>
      <c r="H46" s="151">
        <f>G46*50</f>
        <v>14.50843934784684</v>
      </c>
    </row>
  </sheetData>
  <mergeCells count="3">
    <mergeCell ref="B7:C7"/>
    <mergeCell ref="B26:C26"/>
    <mergeCell ref="B41:C41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D3FF2-C709-439C-9F02-22D8111BB9B0}">
  <dimension ref="B2:I18"/>
  <sheetViews>
    <sheetView topLeftCell="B1" workbookViewId="0">
      <selection activeCell="F7" sqref="F7:I8"/>
    </sheetView>
  </sheetViews>
  <sheetFormatPr baseColWidth="10" defaultRowHeight="13.2" x14ac:dyDescent="0.25"/>
  <sheetData>
    <row r="2" spans="2:9" x14ac:dyDescent="0.25">
      <c r="B2" t="s">
        <v>145</v>
      </c>
    </row>
    <row r="3" spans="2:9" x14ac:dyDescent="0.25">
      <c r="B3" t="s">
        <v>41</v>
      </c>
    </row>
    <row r="4" spans="2:9" x14ac:dyDescent="0.25">
      <c r="B4" t="s">
        <v>146</v>
      </c>
    </row>
    <row r="6" spans="2:9" ht="13.8" thickBot="1" x14ac:dyDescent="0.3"/>
    <row r="7" spans="2:9" x14ac:dyDescent="0.25">
      <c r="B7" s="166" t="s">
        <v>129</v>
      </c>
      <c r="C7" s="167"/>
      <c r="F7" s="127">
        <f>_xlfn.NORM.DIST(350,273,132,TRUE)</f>
        <v>0.72016553640029435</v>
      </c>
      <c r="G7" s="127">
        <f>1-F7</f>
        <v>0.27983446359970565</v>
      </c>
      <c r="H7" s="152">
        <f>G7</f>
        <v>0.27983446359970565</v>
      </c>
      <c r="I7" s="92" t="s">
        <v>149</v>
      </c>
    </row>
    <row r="8" spans="2:9" x14ac:dyDescent="0.25">
      <c r="B8" s="93"/>
      <c r="C8" s="93"/>
      <c r="H8" s="128">
        <f>G7*50</f>
        <v>13.991723179985282</v>
      </c>
      <c r="I8" t="s">
        <v>148</v>
      </c>
    </row>
    <row r="9" spans="2:9" ht="15" x14ac:dyDescent="0.25">
      <c r="B9" s="131" t="s">
        <v>130</v>
      </c>
      <c r="C9" s="93">
        <v>273</v>
      </c>
    </row>
    <row r="10" spans="2:9" ht="17.399999999999999" x14ac:dyDescent="0.3">
      <c r="B10" s="132" t="s">
        <v>119</v>
      </c>
      <c r="C10" s="93">
        <v>132</v>
      </c>
    </row>
    <row r="11" spans="2:9" ht="14.4" x14ac:dyDescent="0.3">
      <c r="B11" s="133" t="s">
        <v>131</v>
      </c>
      <c r="C11" s="134" t="s">
        <v>147</v>
      </c>
    </row>
    <row r="18" spans="2:2" x14ac:dyDescent="0.25">
      <c r="B18" s="92" t="s">
        <v>150</v>
      </c>
    </row>
  </sheetData>
  <mergeCells count="1">
    <mergeCell ref="B7:C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datos</vt:lpstr>
      <vt:lpstr>TABLA-MTC</vt:lpstr>
      <vt:lpstr>MED-DISPERSION</vt:lpstr>
      <vt:lpstr>Output</vt:lpstr>
      <vt:lpstr>normal distribucion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59168</cp:lastModifiedBy>
  <dcterms:created xsi:type="dcterms:W3CDTF">2024-06-01T03:55:09Z</dcterms:created>
  <dcterms:modified xsi:type="dcterms:W3CDTF">2024-06-04T16:35:51Z</dcterms:modified>
</cp:coreProperties>
</file>