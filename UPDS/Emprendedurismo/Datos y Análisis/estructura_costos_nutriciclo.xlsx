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uctura de Co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<sst xmlns="http://schemas.openxmlformats.org/spreadsheetml/2006/main" count="90" uniqueCount="90">
  <si>
    <t xml:space="preserve">ESTRUCTURA DE COSTOS - NUTRICICLO SCZ</t>
  </si>
  <si>
    <t xml:space="preserve">Biofabrica de Bloques Multinutricionales | Santa Cruz de la Sierra, Bolivia</t>
  </si>
  <si>
    <t xml:space="preserve">Descripcion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</si>
  <si>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</si>
  <si>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</si>
  <si>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</si>
  <si>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</si>
  <si>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</si>
  <si>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COSTOS VARIABLES</t>
  </si>
  <si>
    <t xml:space="preserve">Costos de produccion</t>
  </si>
  <si>
    <t xml:space="preserve">Costo de materia prima directa</t>
  </si>
  <si>
    <t xml:space="preserve">Sangre bovina (FRIGOR S.A.)</t>
  </si>
  <si>
    <t xml:space="preserve">Huesos bovinos (FRIGOR S.A.)</t>
  </si>
  <si>
    <t xml:space="preserve">Visceras p/ sustrato BSF (FRIGOR)</t>
  </si>
  <si>
    <t xml:space="preserve">Melaza de cana</t>
  </si>
  <si>
    <t xml:space="preserve">Cascarilla de arroz</t>
  </si>
  <si>
    <t xml:space="preserve">Afrecho de soya</t>
  </si>
  <si>
    <t xml:space="preserve">Urea agricola</t>
  </si>
  <si>
    <t xml:space="preserve">Cal viva (CaO)</t>
  </si>
  <si>
    <t xml:space="preserve">Sal mineralizada</t>
  </si>
  <si>
    <t xml:space="preserve">Azufre elemental</t>
  </si>
  <si>
    <t xml:space="preserve">Anticoagulante (citrato de sodio)</t>
  </si>
  <si>
    <t xml:space="preserve">Subtotal materia prima directa</t>
  </si>
  <si>
    <t xml:space="preserve">Costos de materia prima indirecta</t>
  </si>
  <si>
    <t xml:space="preserve">Film stretch para empaque</t>
  </si>
  <si>
    <t xml:space="preserve">Etiquetas impresas</t>
  </si>
  <si>
    <t xml:space="preserve">Bolsas de polipropileno</t>
  </si>
  <si>
    <t xml:space="preserve">Pallets de madera</t>
  </si>
  <si>
    <t xml:space="preserve">Cinta adhesiva industrial</t>
  </si>
  <si>
    <t xml:space="preserve">Subtotal materia prima indirecta</t>
  </si>
  <si>
    <t xml:space="preserve">TOTAL COSTOS DE PRODUCCION</t>
  </si>
  <si>
    <t xml:space="preserve">Costo mano de obra</t>
  </si>
  <si>
    <t xml:space="preserve">Costo de salarios</t>
  </si>
  <si>
    <t xml:space="preserve">Jefe de Planta / Produccion (1)</t>
  </si>
  <si>
    <t xml:space="preserve">Supervisores de Turno (2)</t>
  </si>
  <si>
    <t xml:space="preserve">Operarios Fase 1 - Preparacion (3)</t>
  </si>
  <si>
    <t xml:space="preserve">Operarios Fase 2 - Mezcla (2)</t>
  </si>
  <si>
    <t xml:space="preserve">Operarios Fase 3 - Moldeo/Empaque (3)</t>
  </si>
  <si>
    <t xml:space="preserve">Tecnico Biofabrica BSF (1)</t>
  </si>
  <si>
    <t xml:space="preserve">Tecnico de Mantenimiento (1)</t>
  </si>
  <si>
    <t xml:space="preserve">Responsable de Calidad (1)</t>
  </si>
  <si>
    <t xml:space="preserve">Almacenero (1)</t>
  </si>
  <si>
    <t xml:space="preserve">Personal de Limpieza (1)</t>
  </si>
  <si>
    <t xml:space="preserve">Subtotal salarios operativos</t>
  </si>
  <si>
    <t xml:space="preserve">Cargas sociales empleador</t>
  </si>
  <si>
    <t xml:space="preserve">CNS patronal (10%)</t>
  </si>
  <si>
    <t xml:space="preserve">AFP riesgo comun (1.71%)</t>
  </si>
  <si>
    <t xml:space="preserve">Prov. aguinaldo (8.33%)</t>
  </si>
  <si>
    <t xml:space="preserve">Prov. indemnizacion (8.33%)</t>
  </si>
  <si>
    <t xml:space="preserve">Prov. vacaciones (4.17%)</t>
  </si>
  <si>
    <t xml:space="preserve">Subtotal cargas sociales</t>
  </si>
  <si>
    <t xml:space="preserve">TOTAL COSTO MANO DE OBRA</t>
  </si>
  <si>
    <t xml:space="preserve">TOTAL COSTOS VARIABLES</t>
  </si>
  <si>
    <t xml:space="preserve">COSTOS FIJOS</t>
  </si>
  <si>
    <t xml:space="preserve">Costo de servicios basicos planta</t>
  </si>
  <si>
    <t xml:space="preserve">Agua</t>
  </si>
  <si>
    <t xml:space="preserve">Electricidad</t>
  </si>
  <si>
    <t xml:space="preserve">Internet</t>
  </si>
  <si>
    <t xml:space="preserve">Alquiler planta industrial</t>
  </si>
  <si>
    <t xml:space="preserve">Subtotal servicios basicos planta</t>
  </si>
  <si>
    <t xml:space="preserve">Costo servicios basicos tienda comercializacion</t>
  </si>
  <si>
    <t xml:space="preserve">Agua tienda</t>
  </si>
  <si>
    <t xml:space="preserve">Electricidad tienda</t>
  </si>
  <si>
    <t xml:space="preserve">Internet tienda</t>
  </si>
  <si>
    <t xml:space="preserve">Alquiler tienda</t>
  </si>
  <si>
    <t xml:space="preserve">Subtotal servicios tienda</t>
  </si>
  <si>
    <t xml:space="preserve">Salarios administrativos (fijos)</t>
  </si>
  <si>
    <t xml:space="preserve">Gerente General (1)</t>
  </si>
  <si>
    <t xml:space="preserve">Contador General (1)</t>
  </si>
  <si>
    <t xml:space="preserve">Jefe Comercial / Ventas (1)</t>
  </si>
  <si>
    <t xml:space="preserve">Asistente Administrativo (1)</t>
  </si>
  <si>
    <t xml:space="preserve">Chofer / Despachador (1)</t>
  </si>
  <si>
    <t xml:space="preserve">Vigilantes (2)</t>
  </si>
  <si>
    <t xml:space="preserve">Subtotal salarios administrativos</t>
  </si>
  <si>
    <t xml:space="preserve">Cargas sociales administrativos (32.54%)</t>
  </si>
  <si>
    <t xml:space="preserve">Otros costos fijos</t>
  </si>
  <si>
    <t xml:space="preserve">Depreciaciones activos fijos</t>
  </si>
  <si>
    <t xml:space="preserve">Amortizacion intangible</t>
  </si>
  <si>
    <t xml:space="preserve">Costo de limpieza y seguridad</t>
  </si>
  <si>
    <t xml:space="preserve">Costo de publicidad y marketing</t>
  </si>
  <si>
    <t xml:space="preserve">Gastos de mantenimiento equipos</t>
  </si>
  <si>
    <t xml:space="preserve">Gastos mantenimiento vehiculo</t>
  </si>
  <si>
    <t xml:space="preserve">Seguros (planta y vehiculo)</t>
  </si>
  <si>
    <t xml:space="preserve">Registro SENASAG y licencias</t>
  </si>
  <si>
    <t xml:space="preserve">Gastos de oficina y papeleria</t>
  </si>
  <si>
    <t xml:space="preserve">Combustible vehiculo</t>
  </si>
  <si>
    <t xml:space="preserve">Gas industrial (planta)</t>
  </si>
  <si>
    <t xml:space="preserve">Subtotal otros costos fijos</t>
  </si>
  <si>
    <t xml:space="preserve">TOTAL COSTOS FIJOS</t>
  </si>
  <si>
    <t xml:space="preserve">COSTO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</si>
</sst>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C8E6C9"/>
        <bgColor rgb="FFBBDEFB"/>
      </patternFill>
    </fill>
    <fill>
      <patternFill patternType="solid">
        <fgColor rgb="FF0D47A1"/>
        <bgColor rgb="FF333399"/>
      </patternFill>
    </fill>
    <fill>
      <patternFill patternType="solid">
        <fgColor rgb="FFBBDEFB"/>
        <bgColor rgb="FFC8E6C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1B5E20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B5E20"/>
      </top>
      <bottom style="double">
        <color rgb="FF1B5E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47A1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1.75" hidden="false" customHeight="true" outlineLevel="0" collapsed="false">
      <c r="A5" s="5" t="s">
        <v>8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9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8" t="s">
        <v>10</v>
      </c>
      <c r="B7" s="9"/>
      <c r="C7" s="9"/>
      <c r="D7" s="9"/>
      <c r="E7" s="9"/>
      <c r="F7" s="9"/>
    </row>
    <row r="8" customFormat="false" ht="15" hidden="false" customHeight="false" outlineLevel="0" collapsed="false">
      <c r="A8" s="10" t="s">
        <v>11</v>
      </c>
      <c r="B8" s="11" t="n">
        <v>18000</v>
      </c>
      <c r="C8" s="11" t="n">
        <v>19800</v>
      </c>
      <c r="D8" s="11" t="n">
        <v>21780</v>
      </c>
      <c r="E8" s="11" t="n">
        <v>23958</v>
      </c>
      <c r="F8" s="11" t="n">
        <v>26354</v>
      </c>
    </row>
    <row r="9" customFormat="false" ht="15" hidden="false" customHeight="false" outlineLevel="0" collapsed="false">
      <c r="A9" s="10" t="s">
        <v>12</v>
      </c>
      <c r="B9" s="11" t="n">
        <v>10800</v>
      </c>
      <c r="C9" s="11" t="n">
        <v>11880</v>
      </c>
      <c r="D9" s="11" t="n">
        <v>13068</v>
      </c>
      <c r="E9" s="11" t="n">
        <v>14375</v>
      </c>
      <c r="F9" s="11" t="n">
        <v>15812</v>
      </c>
    </row>
    <row r="10" customFormat="false" ht="15" hidden="false" customHeight="false" outlineLevel="0" collapsed="false">
      <c r="A10" s="10" t="s">
        <v>13</v>
      </c>
      <c r="B10" s="11" t="n">
        <v>6000</v>
      </c>
      <c r="C10" s="11" t="n">
        <v>6600</v>
      </c>
      <c r="D10" s="11" t="n">
        <v>7260</v>
      </c>
      <c r="E10" s="11" t="n">
        <v>7986</v>
      </c>
      <c r="F10" s="11" t="n">
        <v>8785</v>
      </c>
    </row>
    <row r="11" customFormat="false" ht="15" hidden="false" customHeight="false" outlineLevel="0" collapsed="false">
      <c r="A11" s="10" t="s">
        <v>14</v>
      </c>
      <c r="B11" s="11" t="n">
        <v>43200</v>
      </c>
      <c r="C11" s="11" t="n">
        <v>47520</v>
      </c>
      <c r="D11" s="11" t="n">
        <v>52272</v>
      </c>
      <c r="E11" s="11" t="n">
        <v>57499</v>
      </c>
      <c r="F11" s="11" t="n">
        <v>63249</v>
      </c>
    </row>
    <row r="12" customFormat="false" ht="15" hidden="false" customHeight="false" outlineLevel="0" collapsed="false">
      <c r="A12" s="10" t="s">
        <v>15</v>
      </c>
      <c r="B12" s="11" t="n">
        <v>14400</v>
      </c>
      <c r="C12" s="11" t="n">
        <v>15840</v>
      </c>
      <c r="D12" s="11" t="n">
        <v>17424</v>
      </c>
      <c r="E12" s="11" t="n">
        <v>19166</v>
      </c>
      <c r="F12" s="11" t="n">
        <v>21083</v>
      </c>
    </row>
    <row r="13" customFormat="false" ht="15" hidden="false" customHeight="false" outlineLevel="0" collapsed="false">
      <c r="A13" s="10" t="s">
        <v>16</v>
      </c>
      <c r="B13" s="11" t="n">
        <v>108000</v>
      </c>
      <c r="C13" s="11" t="n">
        <v>118800</v>
      </c>
      <c r="D13" s="11" t="n">
        <v>130680</v>
      </c>
      <c r="E13" s="11" t="n">
        <v>143748</v>
      </c>
      <c r="F13" s="11" t="n">
        <v>158123</v>
      </c>
    </row>
    <row r="14" customFormat="false" ht="15" hidden="false" customHeight="false" outlineLevel="0" collapsed="false">
      <c r="A14" s="10" t="s">
        <v>17</v>
      </c>
      <c r="B14" s="11" t="n">
        <v>28800</v>
      </c>
      <c r="C14" s="11" t="n">
        <v>31680</v>
      </c>
      <c r="D14" s="11" t="n">
        <v>34848</v>
      </c>
      <c r="E14" s="11" t="n">
        <v>38333</v>
      </c>
      <c r="F14" s="11" t="n">
        <v>42166</v>
      </c>
    </row>
    <row r="15" customFormat="false" ht="15" hidden="false" customHeight="false" outlineLevel="0" collapsed="false">
      <c r="A15" s="10" t="s">
        <v>18</v>
      </c>
      <c r="B15" s="11" t="n">
        <v>36000</v>
      </c>
      <c r="C15" s="11" t="n">
        <v>39600</v>
      </c>
      <c r="D15" s="11" t="n">
        <v>43560</v>
      </c>
      <c r="E15" s="11" t="n">
        <v>47916</v>
      </c>
      <c r="F15" s="11" t="n">
        <v>52708</v>
      </c>
    </row>
    <row r="16" customFormat="false" ht="15" hidden="false" customHeight="false" outlineLevel="0" collapsed="false">
      <c r="A16" s="10" t="s">
        <v>19</v>
      </c>
      <c r="B16" s="11" t="n">
        <v>21600</v>
      </c>
      <c r="C16" s="11" t="n">
        <v>23760</v>
      </c>
      <c r="D16" s="11" t="n">
        <v>26136</v>
      </c>
      <c r="E16" s="11" t="n">
        <v>28750</v>
      </c>
      <c r="F16" s="11" t="n">
        <v>31625</v>
      </c>
    </row>
    <row r="17" customFormat="false" ht="15" hidden="false" customHeight="false" outlineLevel="0" collapsed="false">
      <c r="A17" s="10" t="s">
        <v>20</v>
      </c>
      <c r="B17" s="11" t="n">
        <v>7200</v>
      </c>
      <c r="C17" s="11" t="n">
        <v>7920</v>
      </c>
      <c r="D17" s="11" t="n">
        <v>8712</v>
      </c>
      <c r="E17" s="11" t="n">
        <v>9583</v>
      </c>
      <c r="F17" s="11" t="n">
        <v>10542</v>
      </c>
    </row>
    <row r="18" customFormat="false" ht="15" hidden="false" customHeight="false" outlineLevel="0" collapsed="false">
      <c r="A18" s="10" t="s">
        <v>21</v>
      </c>
      <c r="B18" s="11" t="n">
        <v>3600</v>
      </c>
      <c r="C18" s="11" t="n">
        <v>3960</v>
      </c>
      <c r="D18" s="11" t="n">
        <v>4356</v>
      </c>
      <c r="E18" s="11" t="n">
        <v>4792</v>
      </c>
      <c r="F18" s="11" t="n">
        <v>5271</v>
      </c>
    </row>
    <row r="19" customFormat="false" ht="15" hidden="false" customHeight="false" outlineLevel="0" collapsed="false">
      <c r="A19" s="12" t="s">
        <v>22</v>
      </c>
      <c r="B19" s="13" t="n">
        <f aca="false">SUM(B8:B18)</f>
        <v>297600</v>
      </c>
      <c r="C19" s="13" t="n">
        <f aca="false">SUM(C8:C18)</f>
        <v>327360</v>
      </c>
      <c r="D19" s="13" t="n">
        <f aca="false">SUM(D8:D18)</f>
        <v>360096</v>
      </c>
      <c r="E19" s="13" t="n">
        <f aca="false">SUM(E8:E18)</f>
        <v>396106</v>
      </c>
      <c r="F19" s="13" t="n">
        <f aca="false">SUM(F8:F18)</f>
        <v>435718</v>
      </c>
    </row>
    <row r="20" customFormat="false" ht="15" hidden="false" customHeight="false" outlineLevel="0" collapsed="false">
      <c r="A20" s="8" t="s">
        <v>23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10" t="s">
        <v>24</v>
      </c>
      <c r="B21" s="11" t="n">
        <v>14400</v>
      </c>
      <c r="C21" s="11" t="n">
        <v>15840</v>
      </c>
      <c r="D21" s="11" t="n">
        <v>17424</v>
      </c>
      <c r="E21" s="11" t="n">
        <v>19166</v>
      </c>
      <c r="F21" s="11" t="n">
        <v>21083</v>
      </c>
    </row>
    <row r="22" customFormat="false" ht="15" hidden="false" customHeight="false" outlineLevel="0" collapsed="false">
      <c r="A22" s="10" t="s">
        <v>25</v>
      </c>
      <c r="B22" s="11" t="n">
        <v>4800</v>
      </c>
      <c r="C22" s="11" t="n">
        <v>5280</v>
      </c>
      <c r="D22" s="11" t="n">
        <v>5808</v>
      </c>
      <c r="E22" s="11" t="n">
        <v>6389</v>
      </c>
      <c r="F22" s="11" t="n">
        <v>7028</v>
      </c>
    </row>
    <row r="23" customFormat="false" ht="15" hidden="false" customHeight="false" outlineLevel="0" collapsed="false">
      <c r="A23" s="10" t="s">
        <v>26</v>
      </c>
      <c r="B23" s="11" t="n">
        <v>7200</v>
      </c>
      <c r="C23" s="11" t="n">
        <v>7920</v>
      </c>
      <c r="D23" s="11" t="n">
        <v>8712</v>
      </c>
      <c r="E23" s="11" t="n">
        <v>9583</v>
      </c>
      <c r="F23" s="11" t="n">
        <v>10542</v>
      </c>
    </row>
    <row r="24" customFormat="false" ht="15" hidden="false" customHeight="false" outlineLevel="0" collapsed="false">
      <c r="A24" s="10" t="s">
        <v>27</v>
      </c>
      <c r="B24" s="11" t="n">
        <v>3600</v>
      </c>
      <c r="C24" s="11" t="n">
        <v>3960</v>
      </c>
      <c r="D24" s="11" t="n">
        <v>4356</v>
      </c>
      <c r="E24" s="11" t="n">
        <v>4792</v>
      </c>
      <c r="F24" s="11" t="n">
        <v>5271</v>
      </c>
    </row>
    <row r="25" customFormat="false" ht="15" hidden="false" customHeight="false" outlineLevel="0" collapsed="false">
      <c r="A25" s="10" t="s">
        <v>28</v>
      </c>
      <c r="B25" s="11" t="n">
        <v>1200</v>
      </c>
      <c r="C25" s="11" t="n">
        <v>1320</v>
      </c>
      <c r="D25" s="11" t="n">
        <v>1452</v>
      </c>
      <c r="E25" s="11" t="n">
        <v>1597</v>
      </c>
      <c r="F25" s="11" t="n">
        <v>1757</v>
      </c>
    </row>
    <row r="26" customFormat="false" ht="15" hidden="false" customHeight="false" outlineLevel="0" collapsed="false">
      <c r="A26" s="12" t="s">
        <v>29</v>
      </c>
      <c r="B26" s="13" t="n">
        <f aca="false">SUM(B21:B25)</f>
        <v>31200</v>
      </c>
      <c r="C26" s="13" t="n">
        <f aca="false">SUM(C21:C25)</f>
        <v>34320</v>
      </c>
      <c r="D26" s="13" t="n">
        <f aca="false">SUM(D21:D25)</f>
        <v>37752</v>
      </c>
      <c r="E26" s="13" t="n">
        <f aca="false">SUM(E21:E25)</f>
        <v>41527</v>
      </c>
      <c r="F26" s="13" t="n">
        <f aca="false">SUM(F21:F25)</f>
        <v>45681</v>
      </c>
    </row>
    <row r="27" customFormat="false" ht="15" hidden="false" customHeight="false" outlineLevel="0" collapsed="false">
      <c r="A27" s="6" t="s">
        <v>30</v>
      </c>
      <c r="B27" s="7" t="n">
        <f aca="false">B19+B26</f>
        <v>328800</v>
      </c>
      <c r="C27" s="7" t="n">
        <f aca="false">C19+C26</f>
        <v>361680</v>
      </c>
      <c r="D27" s="7" t="n">
        <f aca="false">D19+D26</f>
        <v>397848</v>
      </c>
      <c r="E27" s="7" t="n">
        <f aca="false">E19+E26</f>
        <v>437633</v>
      </c>
      <c r="F27" s="7" t="n">
        <f aca="false">F19+F26</f>
        <v>481399</v>
      </c>
    </row>
    <row r="29" customFormat="false" ht="15" hidden="false" customHeight="false" outlineLevel="0" collapsed="false">
      <c r="A29" s="6" t="s">
        <v>31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8" t="s">
        <v>32</v>
      </c>
      <c r="B30" s="9"/>
      <c r="C30" s="9"/>
      <c r="D30" s="9"/>
      <c r="E30" s="9"/>
      <c r="F30" s="9"/>
    </row>
    <row r="31" customFormat="false" ht="15" hidden="false" customHeight="false" outlineLevel="0" collapsed="false">
      <c r="A31" s="10" t="s">
        <v>33</v>
      </c>
      <c r="B31" s="11" t="n">
        <v>102000</v>
      </c>
      <c r="C31" s="11" t="n">
        <v>107100</v>
      </c>
      <c r="D31" s="11" t="n">
        <v>112455</v>
      </c>
      <c r="E31" s="11" t="n">
        <v>118078</v>
      </c>
      <c r="F31" s="11" t="n">
        <v>123982</v>
      </c>
    </row>
    <row r="32" customFormat="false" ht="15" hidden="false" customHeight="false" outlineLevel="0" collapsed="false">
      <c r="A32" s="10" t="s">
        <v>34</v>
      </c>
      <c r="B32" s="11" t="n">
        <v>132000</v>
      </c>
      <c r="C32" s="11" t="n">
        <v>138600</v>
      </c>
      <c r="D32" s="11" t="n">
        <v>145530</v>
      </c>
      <c r="E32" s="11" t="n">
        <v>152807</v>
      </c>
      <c r="F32" s="11" t="n">
        <v>160447</v>
      </c>
    </row>
    <row r="33" customFormat="false" ht="15" hidden="false" customHeight="false" outlineLevel="0" collapsed="false">
      <c r="A33" s="10" t="s">
        <v>35</v>
      </c>
      <c r="B33" s="11" t="n">
        <v>136800</v>
      </c>
      <c r="C33" s="11" t="n">
        <v>143640</v>
      </c>
      <c r="D33" s="11" t="n">
        <v>150822</v>
      </c>
      <c r="E33" s="11" t="n">
        <v>158363</v>
      </c>
      <c r="F33" s="11" t="n">
        <v>166281</v>
      </c>
    </row>
    <row r="34" customFormat="false" ht="15" hidden="false" customHeight="false" outlineLevel="0" collapsed="false">
      <c r="A34" s="10" t="s">
        <v>36</v>
      </c>
      <c r="B34" s="11" t="n">
        <v>91200</v>
      </c>
      <c r="C34" s="11" t="n">
        <v>95760</v>
      </c>
      <c r="D34" s="11" t="n">
        <v>100548</v>
      </c>
      <c r="E34" s="11" t="n">
        <v>105575</v>
      </c>
      <c r="F34" s="11" t="n">
        <v>110854</v>
      </c>
    </row>
    <row r="35" customFormat="false" ht="15" hidden="false" customHeight="false" outlineLevel="0" collapsed="false">
      <c r="A35" s="10" t="s">
        <v>37</v>
      </c>
      <c r="B35" s="11" t="n">
        <v>126000</v>
      </c>
      <c r="C35" s="11" t="n">
        <v>132300</v>
      </c>
      <c r="D35" s="11" t="n">
        <v>138915</v>
      </c>
      <c r="E35" s="11" t="n">
        <v>145861</v>
      </c>
      <c r="F35" s="11" t="n">
        <v>153154</v>
      </c>
    </row>
    <row r="36" customFormat="false" ht="15" hidden="false" customHeight="false" outlineLevel="0" collapsed="false">
      <c r="A36" s="10" t="s">
        <v>38</v>
      </c>
      <c r="B36" s="11" t="n">
        <v>60000</v>
      </c>
      <c r="C36" s="11" t="n">
        <v>63000</v>
      </c>
      <c r="D36" s="11" t="n">
        <v>66150</v>
      </c>
      <c r="E36" s="11" t="n">
        <v>69458</v>
      </c>
      <c r="F36" s="11" t="n">
        <v>72930</v>
      </c>
    </row>
    <row r="37" customFormat="false" ht="15" hidden="false" customHeight="false" outlineLevel="0" collapsed="false">
      <c r="A37" s="10" t="s">
        <v>39</v>
      </c>
      <c r="B37" s="11" t="n">
        <v>60000</v>
      </c>
      <c r="C37" s="11" t="n">
        <v>63000</v>
      </c>
      <c r="D37" s="11" t="n">
        <v>66150</v>
      </c>
      <c r="E37" s="11" t="n">
        <v>69458</v>
      </c>
      <c r="F37" s="11" t="n">
        <v>72930</v>
      </c>
    </row>
    <row r="38" customFormat="false" ht="15" hidden="false" customHeight="false" outlineLevel="0" collapsed="false">
      <c r="A38" s="10" t="s">
        <v>40</v>
      </c>
      <c r="B38" s="11" t="n">
        <v>66000</v>
      </c>
      <c r="C38" s="11" t="n">
        <v>69300</v>
      </c>
      <c r="D38" s="11" t="n">
        <v>72765</v>
      </c>
      <c r="E38" s="11" t="n">
        <v>76403</v>
      </c>
      <c r="F38" s="11" t="n">
        <v>80223</v>
      </c>
    </row>
    <row r="39" customFormat="false" ht="15" hidden="false" customHeight="false" outlineLevel="0" collapsed="false">
      <c r="A39" s="10" t="s">
        <v>41</v>
      </c>
      <c r="B39" s="11" t="n">
        <v>42000</v>
      </c>
      <c r="C39" s="11" t="n">
        <v>44100</v>
      </c>
      <c r="D39" s="11" t="n">
        <v>46305</v>
      </c>
      <c r="E39" s="11" t="n">
        <v>48620</v>
      </c>
      <c r="F39" s="11" t="n">
        <v>51051</v>
      </c>
    </row>
    <row r="40" customFormat="false" ht="15" hidden="false" customHeight="false" outlineLevel="0" collapsed="false">
      <c r="A40" s="10" t="s">
        <v>42</v>
      </c>
      <c r="B40" s="11" t="n">
        <v>39600</v>
      </c>
      <c r="C40" s="11" t="n">
        <v>41580</v>
      </c>
      <c r="D40" s="11" t="n">
        <v>43659</v>
      </c>
      <c r="E40" s="11" t="n">
        <v>45842</v>
      </c>
      <c r="F40" s="11" t="n">
        <v>48134</v>
      </c>
    </row>
    <row r="41" customFormat="false" ht="15" hidden="false" customHeight="false" outlineLevel="0" collapsed="false">
      <c r="A41" s="12" t="s">
        <v>43</v>
      </c>
      <c r="B41" s="13" t="n">
        <f aca="false">SUM(B31:B40)</f>
        <v>855600</v>
      </c>
      <c r="C41" s="13" t="n">
        <f aca="false">SUM(C31:C40)</f>
        <v>898380</v>
      </c>
      <c r="D41" s="13" t="n">
        <f aca="false">SUM(D31:D40)</f>
        <v>943299</v>
      </c>
      <c r="E41" s="13" t="n">
        <f aca="false">SUM(E31:E40)</f>
        <v>990465</v>
      </c>
      <c r="F41" s="13" t="n">
        <f aca="false">SUM(F31:F40)</f>
        <v>1039986</v>
      </c>
    </row>
    <row r="42" customFormat="false" ht="15" hidden="false" customHeight="false" outlineLevel="0" collapsed="false">
      <c r="A42" s="8" t="s">
        <v>44</v>
      </c>
      <c r="B42" s="9"/>
      <c r="C42" s="9"/>
      <c r="D42" s="9"/>
      <c r="E42" s="9"/>
      <c r="F42" s="9"/>
    </row>
    <row r="43" customFormat="false" ht="15" hidden="false" customHeight="false" outlineLevel="0" collapsed="false">
      <c r="A43" s="14" t="s">
        <v>45</v>
      </c>
      <c r="B43" s="15" t="n">
        <f aca="false">B41*0.1</f>
        <v>85560</v>
      </c>
      <c r="C43" s="15" t="n">
        <f aca="false">C41*0.1</f>
        <v>89838</v>
      </c>
      <c r="D43" s="15" t="n">
        <f aca="false">D41*0.1</f>
        <v>94329.9</v>
      </c>
      <c r="E43" s="15" t="n">
        <f aca="false">E41*0.1</f>
        <v>99046.5</v>
      </c>
      <c r="F43" s="15" t="n">
        <f aca="false">F41*0.1</f>
        <v>103998.6</v>
      </c>
    </row>
    <row r="44" customFormat="false" ht="15" hidden="false" customHeight="false" outlineLevel="0" collapsed="false">
      <c r="A44" s="14" t="s">
        <v>46</v>
      </c>
      <c r="B44" s="15" t="n">
        <f aca="false">B41*0.0171</f>
        <v>14630.76</v>
      </c>
      <c r="C44" s="15" t="n">
        <f aca="false">C41*0.0171</f>
        <v>15362.298</v>
      </c>
      <c r="D44" s="15" t="n">
        <f aca="false">D41*0.0171</f>
        <v>16130.4129</v>
      </c>
      <c r="E44" s="15" t="n">
        <f aca="false">E41*0.0171</f>
        <v>16936.9515</v>
      </c>
      <c r="F44" s="15" t="n">
        <f aca="false">F41*0.0171</f>
        <v>17783.7606</v>
      </c>
    </row>
    <row r="45" customFormat="false" ht="15" hidden="false" customHeight="false" outlineLevel="0" collapsed="false">
      <c r="A45" s="14" t="s">
        <v>47</v>
      </c>
      <c r="B45" s="15" t="n">
        <f aca="false">B41*0.0833</f>
        <v>71271.48</v>
      </c>
      <c r="C45" s="15" t="n">
        <f aca="false">C41*0.0833</f>
        <v>74835.054</v>
      </c>
      <c r="D45" s="15" t="n">
        <f aca="false">D41*0.0833</f>
        <v>78576.8067</v>
      </c>
      <c r="E45" s="15" t="n">
        <f aca="false">E41*0.0833</f>
        <v>82505.7345</v>
      </c>
      <c r="F45" s="15" t="n">
        <f aca="false">F41*0.0833</f>
        <v>86630.8338</v>
      </c>
    </row>
    <row r="46" customFormat="false" ht="15" hidden="false" customHeight="false" outlineLevel="0" collapsed="false">
      <c r="A46" s="14" t="s">
        <v>48</v>
      </c>
      <c r="B46" s="15" t="n">
        <f aca="false">B41*0.0833</f>
        <v>71271.48</v>
      </c>
      <c r="C46" s="15" t="n">
        <f aca="false">C41*0.0833</f>
        <v>74835.054</v>
      </c>
      <c r="D46" s="15" t="n">
        <f aca="false">D41*0.0833</f>
        <v>78576.8067</v>
      </c>
      <c r="E46" s="15" t="n">
        <f aca="false">E41*0.0833</f>
        <v>82505.7345</v>
      </c>
      <c r="F46" s="15" t="n">
        <f aca="false">F41*0.0833</f>
        <v>86630.8338</v>
      </c>
    </row>
    <row r="47" customFormat="false" ht="15" hidden="false" customHeight="false" outlineLevel="0" collapsed="false">
      <c r="A47" s="14" t="s">
        <v>49</v>
      </c>
      <c r="B47" s="15" t="n">
        <f aca="false">B41*0.0417</f>
        <v>35678.52</v>
      </c>
      <c r="C47" s="15" t="n">
        <f aca="false">C41*0.0417</f>
        <v>37462.446</v>
      </c>
      <c r="D47" s="15" t="n">
        <f aca="false">D41*0.0417</f>
        <v>39335.5683</v>
      </c>
      <c r="E47" s="15" t="n">
        <f aca="false">E41*0.0417</f>
        <v>41302.3905</v>
      </c>
      <c r="F47" s="15" t="n">
        <f aca="false">F41*0.0417</f>
        <v>43367.4162</v>
      </c>
    </row>
    <row r="48" customFormat="false" ht="15" hidden="false" customHeight="false" outlineLevel="0" collapsed="false">
      <c r="A48" s="12" t="s">
        <v>50</v>
      </c>
      <c r="B48" s="13" t="n">
        <f aca="false">SUM(B43:B47)</f>
        <v>278412.24</v>
      </c>
      <c r="C48" s="13" t="n">
        <f aca="false">SUM(C43:C47)</f>
        <v>292332.852</v>
      </c>
      <c r="D48" s="13" t="n">
        <f aca="false">SUM(D43:D47)</f>
        <v>306949.4946</v>
      </c>
      <c r="E48" s="13" t="n">
        <f aca="false">SUM(E43:E47)</f>
        <v>322297.311</v>
      </c>
      <c r="F48" s="13" t="n">
        <f aca="false">SUM(F43:F47)</f>
        <v>338411.4444</v>
      </c>
    </row>
    <row r="49" customFormat="false" ht="15" hidden="false" customHeight="false" outlineLevel="0" collapsed="false">
      <c r="A49" s="6" t="s">
        <v>51</v>
      </c>
      <c r="B49" s="7" t="n">
        <f aca="false">B41+B48</f>
        <v>1134012.24</v>
      </c>
      <c r="C49" s="7" t="n">
        <f aca="false">C41+C48</f>
        <v>1190712.852</v>
      </c>
      <c r="D49" s="7" t="n">
        <f aca="false">D41+D48</f>
        <v>1250248.4946</v>
      </c>
      <c r="E49" s="7" t="n">
        <f aca="false">E41+E48</f>
        <v>1312762.311</v>
      </c>
      <c r="F49" s="7" t="n">
        <f aca="false">F41+F48</f>
        <v>1378397.4444</v>
      </c>
    </row>
    <row r="51" customFormat="false" ht="21.75" hidden="false" customHeight="true" outlineLevel="0" collapsed="false">
      <c r="A51" s="16" t="s">
        <v>52</v>
      </c>
      <c r="B51" s="17" t="n">
        <f aca="false">B27+B49</f>
        <v>1462812.24</v>
      </c>
      <c r="C51" s="17" t="n">
        <f aca="false">C27+C49</f>
        <v>1552392.852</v>
      </c>
      <c r="D51" s="17" t="n">
        <f aca="false">D27+D49</f>
        <v>1648096.4946</v>
      </c>
      <c r="E51" s="17" t="n">
        <f aca="false">E27+E49</f>
        <v>1750395.311</v>
      </c>
      <c r="F51" s="17" t="n">
        <f aca="false">F27+F49</f>
        <v>1859796.4444</v>
      </c>
    </row>
    <row r="53" customFormat="false" ht="21.75" hidden="false" customHeight="true" outlineLevel="0" collapsed="false">
      <c r="A53" s="18" t="s">
        <v>53</v>
      </c>
      <c r="B53" s="18"/>
      <c r="C53" s="18"/>
      <c r="D53" s="18"/>
      <c r="E53" s="18"/>
      <c r="F53" s="18"/>
    </row>
    <row r="54" customFormat="false" ht="15" hidden="false" customHeight="false" outlineLevel="0" collapsed="false">
      <c r="A54" s="19" t="s">
        <v>54</v>
      </c>
      <c r="B54" s="20"/>
      <c r="C54" s="20"/>
      <c r="D54" s="20"/>
      <c r="E54" s="20"/>
      <c r="F54" s="20"/>
    </row>
    <row r="55" customFormat="false" ht="15" hidden="false" customHeight="false" outlineLevel="0" collapsed="false">
      <c r="A55" s="10" t="s">
        <v>55</v>
      </c>
      <c r="B55" s="11" t="n">
        <v>3600</v>
      </c>
      <c r="C55" s="11" t="n">
        <v>3780</v>
      </c>
      <c r="D55" s="11" t="n">
        <v>3969</v>
      </c>
      <c r="E55" s="11" t="n">
        <v>4167</v>
      </c>
      <c r="F55" s="11" t="n">
        <v>4376</v>
      </c>
    </row>
    <row r="56" customFormat="false" ht="15" hidden="false" customHeight="false" outlineLevel="0" collapsed="false">
      <c r="A56" s="10" t="s">
        <v>56</v>
      </c>
      <c r="B56" s="11" t="n">
        <v>36000</v>
      </c>
      <c r="C56" s="11" t="n">
        <v>37800</v>
      </c>
      <c r="D56" s="11" t="n">
        <v>39690</v>
      </c>
      <c r="E56" s="11" t="n">
        <v>41675</v>
      </c>
      <c r="F56" s="11" t="n">
        <v>43758</v>
      </c>
    </row>
    <row r="57" customFormat="false" ht="15" hidden="false" customHeight="false" outlineLevel="0" collapsed="false">
      <c r="A57" s="10" t="s">
        <v>57</v>
      </c>
      <c r="B57" s="11" t="n">
        <v>4800</v>
      </c>
      <c r="C57" s="11" t="n">
        <v>5040</v>
      </c>
      <c r="D57" s="11" t="n">
        <v>5292</v>
      </c>
      <c r="E57" s="11" t="n">
        <v>5557</v>
      </c>
      <c r="F57" s="11" t="n">
        <v>5834</v>
      </c>
    </row>
    <row r="58" customFormat="false" ht="15" hidden="false" customHeight="false" outlineLevel="0" collapsed="false">
      <c r="A58" s="10" t="s">
        <v>58</v>
      </c>
      <c r="B58" s="11" t="n">
        <v>180000</v>
      </c>
      <c r="C58" s="11" t="n">
        <v>189000</v>
      </c>
      <c r="D58" s="11" t="n">
        <v>198450</v>
      </c>
      <c r="E58" s="11" t="n">
        <v>208373</v>
      </c>
      <c r="F58" s="11" t="n">
        <v>218791</v>
      </c>
    </row>
    <row r="59" customFormat="false" ht="15" hidden="false" customHeight="false" outlineLevel="0" collapsed="false">
      <c r="A59" s="12" t="s">
        <v>59</v>
      </c>
      <c r="B59" s="13" t="n">
        <f aca="false">SUM(B55:B58)</f>
        <v>224400</v>
      </c>
      <c r="C59" s="13" t="n">
        <f aca="false">SUM(C55:C58)</f>
        <v>235620</v>
      </c>
      <c r="D59" s="13" t="n">
        <f aca="false">SUM(D55:D58)</f>
        <v>247401</v>
      </c>
      <c r="E59" s="13" t="n">
        <f aca="false">SUM(E55:E58)</f>
        <v>259772</v>
      </c>
      <c r="F59" s="13" t="n">
        <f aca="false">SUM(F55:F58)</f>
        <v>272759</v>
      </c>
    </row>
    <row r="60" customFormat="false" ht="15" hidden="false" customHeight="false" outlineLevel="0" collapsed="false">
      <c r="A60" s="19" t="s">
        <v>60</v>
      </c>
      <c r="B60" s="20"/>
      <c r="C60" s="20"/>
      <c r="D60" s="20"/>
      <c r="E60" s="20"/>
      <c r="F60" s="20"/>
    </row>
    <row r="61" customFormat="false" ht="15" hidden="false" customHeight="false" outlineLevel="0" collapsed="false">
      <c r="A61" s="10" t="s">
        <v>61</v>
      </c>
      <c r="B61" s="11" t="n">
        <v>840</v>
      </c>
      <c r="C61" s="11" t="n">
        <v>882</v>
      </c>
      <c r="D61" s="11" t="n">
        <v>926</v>
      </c>
      <c r="E61" s="11" t="n">
        <v>972</v>
      </c>
      <c r="F61" s="11" t="n">
        <v>1021</v>
      </c>
    </row>
    <row r="62" customFormat="false" ht="15" hidden="false" customHeight="false" outlineLevel="0" collapsed="false">
      <c r="A62" s="10" t="s">
        <v>62</v>
      </c>
      <c r="B62" s="11" t="n">
        <v>4200</v>
      </c>
      <c r="C62" s="11" t="n">
        <v>4410</v>
      </c>
      <c r="D62" s="11" t="n">
        <v>4631</v>
      </c>
      <c r="E62" s="11" t="n">
        <v>4862</v>
      </c>
      <c r="F62" s="11" t="n">
        <v>5105</v>
      </c>
    </row>
    <row r="63" customFormat="false" ht="15" hidden="false" customHeight="false" outlineLevel="0" collapsed="false">
      <c r="A63" s="10" t="s">
        <v>63</v>
      </c>
      <c r="B63" s="11" t="n">
        <v>3600</v>
      </c>
      <c r="C63" s="11" t="n">
        <v>3780</v>
      </c>
      <c r="D63" s="11" t="n">
        <v>3969</v>
      </c>
      <c r="E63" s="11" t="n">
        <v>4167</v>
      </c>
      <c r="F63" s="11" t="n">
        <v>4376</v>
      </c>
    </row>
    <row r="64" customFormat="false" ht="15" hidden="false" customHeight="false" outlineLevel="0" collapsed="false">
      <c r="A64" s="10" t="s">
        <v>64</v>
      </c>
      <c r="B64" s="11" t="n">
        <v>18000</v>
      </c>
      <c r="C64" s="11" t="n">
        <v>18900</v>
      </c>
      <c r="D64" s="11" t="n">
        <v>19845</v>
      </c>
      <c r="E64" s="11" t="n">
        <v>20837</v>
      </c>
      <c r="F64" s="11" t="n">
        <v>21879</v>
      </c>
    </row>
    <row r="65" customFormat="false" ht="15" hidden="false" customHeight="false" outlineLevel="0" collapsed="false">
      <c r="A65" s="12" t="s">
        <v>65</v>
      </c>
      <c r="B65" s="13" t="n">
        <f aca="false">SUM(B61:B64)</f>
        <v>26640</v>
      </c>
      <c r="C65" s="13" t="n">
        <f aca="false">SUM(C61:C64)</f>
        <v>27972</v>
      </c>
      <c r="D65" s="13" t="n">
        <f aca="false">SUM(D61:D64)</f>
        <v>29371</v>
      </c>
      <c r="E65" s="13" t="n">
        <f aca="false">SUM(E61:E64)</f>
        <v>30838</v>
      </c>
      <c r="F65" s="13" t="n">
        <f aca="false">SUM(F61:F64)</f>
        <v>32381</v>
      </c>
    </row>
    <row r="66" customFormat="false" ht="15" hidden="false" customHeight="false" outlineLevel="0" collapsed="false">
      <c r="A66" s="19" t="s">
        <v>66</v>
      </c>
      <c r="B66" s="20"/>
      <c r="C66" s="20"/>
      <c r="D66" s="20"/>
      <c r="E66" s="20"/>
      <c r="F66" s="20"/>
    </row>
    <row r="67" customFormat="false" ht="15" hidden="false" customHeight="false" outlineLevel="0" collapsed="false">
      <c r="A67" s="10" t="s">
        <v>67</v>
      </c>
      <c r="B67" s="11" t="n">
        <v>144000</v>
      </c>
      <c r="C67" s="11" t="n">
        <v>151200</v>
      </c>
      <c r="D67" s="11" t="n">
        <v>158760</v>
      </c>
      <c r="E67" s="11" t="n">
        <v>166698</v>
      </c>
      <c r="F67" s="11" t="n">
        <v>175033</v>
      </c>
    </row>
    <row r="68" customFormat="false" ht="15" hidden="false" customHeight="false" outlineLevel="0" collapsed="false">
      <c r="A68" s="10" t="s">
        <v>68</v>
      </c>
      <c r="B68" s="11" t="n">
        <v>78000</v>
      </c>
      <c r="C68" s="11" t="n">
        <v>81900</v>
      </c>
      <c r="D68" s="11" t="n">
        <v>85995</v>
      </c>
      <c r="E68" s="11" t="n">
        <v>90295</v>
      </c>
      <c r="F68" s="11" t="n">
        <v>94809</v>
      </c>
    </row>
    <row r="69" customFormat="false" ht="15" hidden="false" customHeight="false" outlineLevel="0" collapsed="false">
      <c r="A69" s="10" t="s">
        <v>69</v>
      </c>
      <c r="B69" s="11" t="n">
        <v>84000</v>
      </c>
      <c r="C69" s="11" t="n">
        <v>88200</v>
      </c>
      <c r="D69" s="11" t="n">
        <v>92610</v>
      </c>
      <c r="E69" s="11" t="n">
        <v>97241</v>
      </c>
      <c r="F69" s="11" t="n">
        <v>102103</v>
      </c>
    </row>
    <row r="70" customFormat="false" ht="15" hidden="false" customHeight="false" outlineLevel="0" collapsed="false">
      <c r="A70" s="10" t="s">
        <v>70</v>
      </c>
      <c r="B70" s="11" t="n">
        <v>48000</v>
      </c>
      <c r="C70" s="11" t="n">
        <v>50400</v>
      </c>
      <c r="D70" s="11" t="n">
        <v>52920</v>
      </c>
      <c r="E70" s="11" t="n">
        <v>55566</v>
      </c>
      <c r="F70" s="11" t="n">
        <v>58344</v>
      </c>
    </row>
    <row r="71" customFormat="false" ht="15" hidden="false" customHeight="false" outlineLevel="0" collapsed="false">
      <c r="A71" s="10" t="s">
        <v>71</v>
      </c>
      <c r="B71" s="11" t="n">
        <v>45600</v>
      </c>
      <c r="C71" s="11" t="n">
        <v>47880</v>
      </c>
      <c r="D71" s="11" t="n">
        <v>50274</v>
      </c>
      <c r="E71" s="11" t="n">
        <v>52788</v>
      </c>
      <c r="F71" s="11" t="n">
        <v>55427</v>
      </c>
    </row>
    <row r="72" customFormat="false" ht="15" hidden="false" customHeight="false" outlineLevel="0" collapsed="false">
      <c r="A72" s="10" t="s">
        <v>72</v>
      </c>
      <c r="B72" s="11" t="n">
        <v>79200</v>
      </c>
      <c r="C72" s="11" t="n">
        <v>83160</v>
      </c>
      <c r="D72" s="11" t="n">
        <v>87318</v>
      </c>
      <c r="E72" s="11" t="n">
        <v>91684</v>
      </c>
      <c r="F72" s="11" t="n">
        <v>96268</v>
      </c>
    </row>
    <row r="73" customFormat="false" ht="15" hidden="false" customHeight="false" outlineLevel="0" collapsed="false">
      <c r="A73" s="12" t="s">
        <v>73</v>
      </c>
      <c r="B73" s="13" t="n">
        <f aca="false">SUM(B67:B72)</f>
        <v>478800</v>
      </c>
      <c r="C73" s="13" t="n">
        <f aca="false">SUM(C67:C72)</f>
        <v>502740</v>
      </c>
      <c r="D73" s="13" t="n">
        <f aca="false">SUM(D67:D72)</f>
        <v>527877</v>
      </c>
      <c r="E73" s="13" t="n">
        <f aca="false">SUM(E67:E72)</f>
        <v>554272</v>
      </c>
      <c r="F73" s="13" t="n">
        <f aca="false">SUM(F67:F72)</f>
        <v>581984</v>
      </c>
    </row>
    <row r="74" customFormat="false" ht="15" hidden="false" customHeight="false" outlineLevel="0" collapsed="false">
      <c r="A74" s="14" t="s">
        <v>74</v>
      </c>
      <c r="B74" s="15" t="n">
        <f aca="false">B73*0.3254</f>
        <v>155801.52</v>
      </c>
      <c r="C74" s="15" t="n">
        <f aca="false">C73*0.3254</f>
        <v>163591.596</v>
      </c>
      <c r="D74" s="15" t="n">
        <f aca="false">D73*0.3254</f>
        <v>171771.1758</v>
      </c>
      <c r="E74" s="15" t="n">
        <f aca="false">E73*0.3254</f>
        <v>180360.1088</v>
      </c>
      <c r="F74" s="15" t="n">
        <f aca="false">F73*0.3254</f>
        <v>189377.5936</v>
      </c>
    </row>
    <row r="76" customFormat="false" ht="15" hidden="false" customHeight="false" outlineLevel="0" collapsed="false">
      <c r="A76" s="19" t="s">
        <v>75</v>
      </c>
      <c r="B76" s="20"/>
      <c r="C76" s="20"/>
      <c r="D76" s="20"/>
      <c r="E76" s="20"/>
      <c r="F76" s="20"/>
    </row>
    <row r="77" customFormat="false" ht="15" hidden="false" customHeight="false" outlineLevel="0" collapsed="false">
      <c r="A77" s="10" t="s">
        <v>76</v>
      </c>
      <c r="B77" s="11" t="n">
        <v>156619</v>
      </c>
      <c r="C77" s="11" t="n">
        <v>156619</v>
      </c>
      <c r="D77" s="11" t="n">
        <v>156619</v>
      </c>
      <c r="E77" s="11" t="n">
        <v>156619</v>
      </c>
      <c r="F77" s="11" t="n">
        <v>156619</v>
      </c>
    </row>
    <row r="78" customFormat="false" ht="15" hidden="false" customHeight="false" outlineLevel="0" collapsed="false">
      <c r="A78" s="10" t="s">
        <v>77</v>
      </c>
      <c r="B78" s="11" t="n">
        <v>2312</v>
      </c>
      <c r="C78" s="11" t="n">
        <v>2312</v>
      </c>
      <c r="D78" s="11" t="n">
        <v>2312</v>
      </c>
      <c r="E78" s="11" t="n">
        <v>2312</v>
      </c>
      <c r="F78" s="11" t="n">
        <v>2312</v>
      </c>
    </row>
    <row r="79" customFormat="false" ht="15" hidden="false" customHeight="false" outlineLevel="0" collapsed="false">
      <c r="A79" s="10" t="s">
        <v>78</v>
      </c>
      <c r="B79" s="11" t="n">
        <v>14400</v>
      </c>
      <c r="C79" s="11" t="n">
        <v>15120</v>
      </c>
      <c r="D79" s="11" t="n">
        <v>15876</v>
      </c>
      <c r="E79" s="11" t="n">
        <v>16670</v>
      </c>
      <c r="F79" s="11" t="n">
        <v>17503</v>
      </c>
    </row>
    <row r="80" customFormat="false" ht="15" hidden="false" customHeight="false" outlineLevel="0" collapsed="false">
      <c r="A80" s="10" t="s">
        <v>79</v>
      </c>
      <c r="B80" s="11" t="n">
        <v>30000</v>
      </c>
      <c r="C80" s="11" t="n">
        <v>33000</v>
      </c>
      <c r="D80" s="11" t="n">
        <v>36300</v>
      </c>
      <c r="E80" s="11" t="n">
        <v>39930</v>
      </c>
      <c r="F80" s="11" t="n">
        <v>43923</v>
      </c>
    </row>
    <row r="81" customFormat="false" ht="15" hidden="false" customHeight="false" outlineLevel="0" collapsed="false">
      <c r="A81" s="10" t="s">
        <v>80</v>
      </c>
      <c r="B81" s="11" t="n">
        <v>18000</v>
      </c>
      <c r="C81" s="11" t="n">
        <v>18900</v>
      </c>
      <c r="D81" s="11" t="n">
        <v>19845</v>
      </c>
      <c r="E81" s="11" t="n">
        <v>20837</v>
      </c>
      <c r="F81" s="11" t="n">
        <v>21879</v>
      </c>
    </row>
    <row r="82" customFormat="false" ht="15" hidden="false" customHeight="false" outlineLevel="0" collapsed="false">
      <c r="A82" s="10" t="s">
        <v>81</v>
      </c>
      <c r="B82" s="11" t="n">
        <v>7200</v>
      </c>
      <c r="C82" s="11" t="n">
        <v>7560</v>
      </c>
      <c r="D82" s="11" t="n">
        <v>7938</v>
      </c>
      <c r="E82" s="11" t="n">
        <v>8335</v>
      </c>
      <c r="F82" s="11" t="n">
        <v>8752</v>
      </c>
    </row>
    <row r="83" customFormat="false" ht="15" hidden="false" customHeight="false" outlineLevel="0" collapsed="false">
      <c r="A83" s="10" t="s">
        <v>82</v>
      </c>
      <c r="B83" s="11" t="n">
        <v>12000</v>
      </c>
      <c r="C83" s="11" t="n">
        <v>12600</v>
      </c>
      <c r="D83" s="11" t="n">
        <v>13230</v>
      </c>
      <c r="E83" s="11" t="n">
        <v>13892</v>
      </c>
      <c r="F83" s="11" t="n">
        <v>14586</v>
      </c>
    </row>
    <row r="84" customFormat="false" ht="15" hidden="false" customHeight="false" outlineLevel="0" collapsed="false">
      <c r="A84" s="10" t="s">
        <v>83</v>
      </c>
      <c r="B84" s="11" t="n">
        <v>4800</v>
      </c>
      <c r="C84" s="11" t="n">
        <v>5040</v>
      </c>
      <c r="D84" s="11" t="n">
        <v>5292</v>
      </c>
      <c r="E84" s="11" t="n">
        <v>5557</v>
      </c>
      <c r="F84" s="11" t="n">
        <v>5834</v>
      </c>
    </row>
    <row r="85" customFormat="false" ht="15" hidden="false" customHeight="false" outlineLevel="0" collapsed="false">
      <c r="A85" s="10" t="s">
        <v>84</v>
      </c>
      <c r="B85" s="11" t="n">
        <v>3600</v>
      </c>
      <c r="C85" s="11" t="n">
        <v>3780</v>
      </c>
      <c r="D85" s="11" t="n">
        <v>3969</v>
      </c>
      <c r="E85" s="11" t="n">
        <v>4167</v>
      </c>
      <c r="F85" s="11" t="n">
        <v>4376</v>
      </c>
    </row>
    <row r="86" customFormat="false" ht="15" hidden="false" customHeight="false" outlineLevel="0" collapsed="false">
      <c r="A86" s="10" t="s">
        <v>85</v>
      </c>
      <c r="B86" s="11" t="n">
        <v>18000</v>
      </c>
      <c r="C86" s="11" t="n">
        <v>19800</v>
      </c>
      <c r="D86" s="11" t="n">
        <v>21780</v>
      </c>
      <c r="E86" s="11" t="n">
        <v>23958</v>
      </c>
      <c r="F86" s="11" t="n">
        <v>26354</v>
      </c>
    </row>
    <row r="87" customFormat="false" ht="15" hidden="false" customHeight="false" outlineLevel="0" collapsed="false">
      <c r="A87" s="10" t="s">
        <v>86</v>
      </c>
      <c r="B87" s="11" t="n">
        <v>36000</v>
      </c>
      <c r="C87" s="11" t="n">
        <v>37800</v>
      </c>
      <c r="D87" s="11" t="n">
        <v>39690</v>
      </c>
      <c r="E87" s="11" t="n">
        <v>41675</v>
      </c>
      <c r="F87" s="11" t="n">
        <v>43758</v>
      </c>
    </row>
    <row r="88" customFormat="false" ht="15" hidden="false" customHeight="false" outlineLevel="0" collapsed="false">
      <c r="A88" s="12" t="s">
        <v>87</v>
      </c>
      <c r="B88" s="13" t="n">
        <f aca="false">SUM(B77:B87)</f>
        <v>302931</v>
      </c>
      <c r="C88" s="13" t="n">
        <f aca="false">SUM(C77:C87)</f>
        <v>312531</v>
      </c>
      <c r="D88" s="13" t="n">
        <f aca="false">SUM(D77:D87)</f>
        <v>322851</v>
      </c>
      <c r="E88" s="13" t="n">
        <f aca="false">SUM(E77:E87)</f>
        <v>333952</v>
      </c>
      <c r="F88" s="13" t="n">
        <f aca="false">SUM(F77:F87)</f>
        <v>345896</v>
      </c>
    </row>
    <row r="89" customFormat="false" ht="21.75" hidden="false" customHeight="true" outlineLevel="0" collapsed="false">
      <c r="A89" s="21" t="s">
        <v>88</v>
      </c>
      <c r="B89" s="22" t="n">
        <f aca="false">B59+B65+B73+B74+B88</f>
        <v>1188572.52</v>
      </c>
      <c r="C89" s="22" t="n">
        <f aca="false">C59+C65+C73+C74+C88</f>
        <v>1242454.596</v>
      </c>
      <c r="D89" s="22" t="n">
        <f aca="false">D59+D65+D73+D74+D88</f>
        <v>1299271.1758</v>
      </c>
      <c r="E89" s="22" t="n">
        <f aca="false">E59+E65+E73+E74+E88</f>
        <v>1359194.1088</v>
      </c>
      <c r="F89" s="22" t="n">
        <f aca="false">F59+F65+F73+F74+F88</f>
        <v>1422397.5936</v>
      </c>
    </row>
    <row r="91" customFormat="false" ht="25.5" hidden="false" customHeight="true" outlineLevel="0" collapsed="false">
      <c r="A91" s="23" t="s">
        <v>89</v>
      </c>
      <c r="B91" s="24" t="n">
        <f aca="false">B51+B89</f>
        <v>2651384.76</v>
      </c>
      <c r="C91" s="24" t="n">
        <f aca="false">C51+C89</f>
        <v>2794847.448</v>
      </c>
      <c r="D91" s="24" t="n">
        <f aca="false">D51+D89</f>
        <v>2947367.6704</v>
      </c>
      <c r="E91" s="24" t="n">
        <f aca="false">E51+E89</f>
        <v>3109589.4198</v>
      </c>
      <c r="F91" s="24" t="n">
        <f aca="false">F51+F89</f>
        <v>3282194.038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2026-04-03T00:10:02Z</dcterms:created>
  <dc:creator>openpyxl</dc:creator>
  <dc:description/>
  <dc:language>en-US</dc:language>
  <cp:lastModifiedBy/>
  <dcterms:modified xsi:type="dcterms:W3CDTF">2026-04-03T00:10:02Z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