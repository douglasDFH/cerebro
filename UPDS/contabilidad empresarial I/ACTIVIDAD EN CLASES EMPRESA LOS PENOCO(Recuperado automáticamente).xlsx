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59168\Desktop\contabilidad empresarial I\"/>
    </mc:Choice>
  </mc:AlternateContent>
  <xr:revisionPtr revIDLastSave="0" documentId="13_ncr:1_{E0CA846A-282B-4E10-AFD7-9DE139C3B778}" xr6:coauthVersionLast="43" xr6:coauthVersionMax="43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balance de apertura" sheetId="1" r:id="rId1"/>
    <sheet name="libro diario" sheetId="2" r:id="rId2"/>
    <sheet name="libro mayor" sheetId="3" r:id="rId3"/>
    <sheet name="Mayores" sheetId="6" r:id="rId4"/>
    <sheet name="AP. Y BENEFICIOS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97" i="6" l="1"/>
  <c r="M96" i="6"/>
  <c r="M87" i="6"/>
  <c r="M86" i="6"/>
  <c r="J97" i="6"/>
  <c r="J96" i="6"/>
  <c r="J87" i="6"/>
  <c r="J86" i="6"/>
  <c r="G97" i="6"/>
  <c r="G96" i="6"/>
  <c r="G87" i="6"/>
  <c r="G86" i="6"/>
  <c r="D86" i="6"/>
  <c r="A86" i="6"/>
  <c r="M72" i="6"/>
  <c r="J72" i="6"/>
  <c r="G72" i="6"/>
  <c r="D73" i="6"/>
  <c r="D72" i="6"/>
  <c r="A73" i="6"/>
  <c r="A82" i="6" s="1"/>
  <c r="A83" i="6" s="1"/>
  <c r="A72" i="6"/>
  <c r="A96" i="6"/>
  <c r="E82" i="6"/>
  <c r="M59" i="6"/>
  <c r="M58" i="6"/>
  <c r="J58" i="6"/>
  <c r="G58" i="6"/>
  <c r="D58" i="6"/>
  <c r="A59" i="6"/>
  <c r="A68" i="6" s="1"/>
  <c r="A69" i="6" s="1"/>
  <c r="A58" i="6"/>
  <c r="M45" i="6"/>
  <c r="J46" i="6"/>
  <c r="J45" i="6"/>
  <c r="G45" i="6"/>
  <c r="D45" i="6"/>
  <c r="A45" i="6"/>
  <c r="M30" i="6"/>
  <c r="J30" i="6"/>
  <c r="H31" i="6"/>
  <c r="G30" i="6"/>
  <c r="E33" i="6"/>
  <c r="E32" i="6"/>
  <c r="E31" i="6"/>
  <c r="E42" i="6" s="1"/>
  <c r="E43" i="6" s="1"/>
  <c r="D30" i="6"/>
  <c r="A33" i="6"/>
  <c r="A32" i="6"/>
  <c r="A30" i="6"/>
  <c r="M17" i="6"/>
  <c r="E27" i="6"/>
  <c r="E28" i="6" s="1"/>
  <c r="K18" i="6"/>
  <c r="K27" i="6" s="1"/>
  <c r="K28" i="6" s="1"/>
  <c r="J17" i="6"/>
  <c r="H18" i="6"/>
  <c r="H27" i="6" s="1"/>
  <c r="H28" i="6" s="1"/>
  <c r="G17" i="6"/>
  <c r="E18" i="6"/>
  <c r="D17" i="6"/>
  <c r="A18" i="6"/>
  <c r="A27" i="6" s="1"/>
  <c r="A28" i="6" s="1"/>
  <c r="A17" i="6"/>
  <c r="M5" i="6"/>
  <c r="M13" i="6" s="1"/>
  <c r="M14" i="6" s="1"/>
  <c r="M4" i="6"/>
  <c r="J5" i="6"/>
  <c r="J13" i="6" s="1"/>
  <c r="J14" i="6" s="1"/>
  <c r="J4" i="6"/>
  <c r="G5" i="6"/>
  <c r="G4" i="6"/>
  <c r="A74" i="6"/>
  <c r="E88" i="6"/>
  <c r="N74" i="6"/>
  <c r="J60" i="6"/>
  <c r="H74" i="6"/>
  <c r="E11" i="6"/>
  <c r="E10" i="6"/>
  <c r="E9" i="6"/>
  <c r="E8" i="6"/>
  <c r="A4" i="6"/>
  <c r="U4" i="6"/>
  <c r="A5" i="6"/>
  <c r="B5" i="6"/>
  <c r="B6" i="6"/>
  <c r="E6" i="6"/>
  <c r="A7" i="6"/>
  <c r="B8" i="6"/>
  <c r="A10" i="6"/>
  <c r="B10" i="6"/>
  <c r="D11" i="6"/>
  <c r="H13" i="6"/>
  <c r="K13" i="6"/>
  <c r="N13" i="6"/>
  <c r="B88" i="6"/>
  <c r="Z23" i="5"/>
  <c r="AA23" i="5"/>
  <c r="AB23" i="5"/>
  <c r="T25" i="5"/>
  <c r="T32" i="5" s="1"/>
  <c r="Y25" i="5"/>
  <c r="Y32" i="5" s="1"/>
  <c r="Z25" i="5"/>
  <c r="Z32" i="5" s="1"/>
  <c r="AA25" i="5"/>
  <c r="AA32" i="5" s="1"/>
  <c r="AB25" i="5"/>
  <c r="AB32" i="5" s="1"/>
  <c r="L32" i="5"/>
  <c r="M32" i="5"/>
  <c r="P32" i="5"/>
  <c r="S32" i="5"/>
  <c r="U32" i="5"/>
  <c r="V32" i="5"/>
  <c r="W32" i="5"/>
  <c r="X32" i="5"/>
  <c r="K74" i="6" l="1"/>
  <c r="D74" i="6"/>
  <c r="D82" i="6" s="1"/>
  <c r="D83" i="6" s="1"/>
  <c r="G60" i="6"/>
  <c r="M60" i="6"/>
  <c r="M68" i="6" s="1"/>
  <c r="M69" i="6" s="1"/>
  <c r="H11" i="2"/>
  <c r="G11" i="2" l="1"/>
  <c r="D51" i="2"/>
  <c r="C35" i="2" l="1"/>
  <c r="C34" i="2" s="1"/>
  <c r="D30" i="2"/>
  <c r="D29" i="2" s="1"/>
  <c r="C28" i="2"/>
  <c r="D31" i="2" s="1"/>
  <c r="C23" i="2"/>
  <c r="C18" i="2"/>
  <c r="C13" i="2"/>
  <c r="D9" i="2"/>
  <c r="F15" i="1"/>
  <c r="E27" i="1"/>
  <c r="F30" i="1" s="1"/>
  <c r="F21" i="1"/>
  <c r="F23" i="1" l="1"/>
  <c r="E33" i="1" s="1"/>
  <c r="F32" i="1" s="1"/>
  <c r="F35" i="1" s="1"/>
  <c r="A41" i="6"/>
  <c r="E53" i="6"/>
  <c r="N38" i="6"/>
  <c r="B53" i="6"/>
  <c r="J38" i="6" l="1"/>
  <c r="B11" i="6"/>
  <c r="E60" i="6"/>
  <c r="G36" i="6"/>
  <c r="D10" i="6"/>
  <c r="E52" i="6"/>
  <c r="B52" i="6"/>
  <c r="N37" i="6"/>
  <c r="A40" i="6"/>
  <c r="J36" i="6"/>
  <c r="G35" i="6"/>
  <c r="D9" i="6"/>
  <c r="E51" i="6"/>
  <c r="B51" i="6"/>
  <c r="N36" i="6"/>
  <c r="G34" i="6"/>
  <c r="D8" i="6"/>
  <c r="H32" i="6" l="1"/>
  <c r="H42" i="6" s="1"/>
  <c r="A9" i="6"/>
  <c r="J37" i="6"/>
  <c r="E50" i="6"/>
  <c r="J35" i="6"/>
  <c r="B50" i="6"/>
  <c r="N35" i="6"/>
  <c r="B49" i="6" l="1"/>
  <c r="N34" i="6"/>
  <c r="B87" i="6"/>
  <c r="B97" i="6" s="1"/>
  <c r="B96" i="6" s="1"/>
  <c r="E87" i="6"/>
  <c r="E96" i="6" s="1"/>
  <c r="E97" i="6" s="1"/>
  <c r="N73" i="6"/>
  <c r="N82" i="6" s="1"/>
  <c r="N83" i="6" s="1"/>
  <c r="H73" i="6" l="1"/>
  <c r="H82" i="6" s="1"/>
  <c r="H83" i="6" s="1"/>
  <c r="G59" i="6"/>
  <c r="G68" i="6" s="1"/>
  <c r="G69" i="6" s="1"/>
  <c r="K73" i="6"/>
  <c r="K82" i="6" s="1"/>
  <c r="K83" i="6" s="1"/>
  <c r="J59" i="6"/>
  <c r="J68" i="6" s="1"/>
  <c r="J69" i="6" s="1"/>
  <c r="B9" i="6"/>
  <c r="E59" i="6"/>
  <c r="E68" i="6" s="1"/>
  <c r="E69" i="6" s="1"/>
  <c r="E49" i="6"/>
  <c r="J34" i="6"/>
  <c r="M46" i="6"/>
  <c r="M55" i="6" s="1"/>
  <c r="M56" i="6" s="1"/>
  <c r="A39" i="6"/>
  <c r="A38" i="6"/>
  <c r="G10" i="6"/>
  <c r="A37" i="6"/>
  <c r="J47" i="6"/>
  <c r="J55" i="6" s="1"/>
  <c r="J56" i="6" s="1"/>
  <c r="G9" i="6"/>
  <c r="A36" i="6"/>
  <c r="E48" i="6"/>
  <c r="B48" i="6"/>
  <c r="N33" i="6"/>
  <c r="J33" i="6"/>
  <c r="G33" i="6"/>
  <c r="D7" i="6"/>
  <c r="J32" i="6"/>
  <c r="G32" i="6"/>
  <c r="A6" i="6"/>
  <c r="A13" i="6" s="1"/>
  <c r="E47" i="6"/>
  <c r="N32" i="6"/>
  <c r="B47" i="6"/>
  <c r="B55" i="6" s="1"/>
  <c r="B56" i="6" s="1"/>
  <c r="G8" i="6"/>
  <c r="A35" i="6"/>
  <c r="B7" i="6"/>
  <c r="E7" i="6"/>
  <c r="E13" i="6" s="1"/>
  <c r="A34" i="6"/>
  <c r="G46" i="6"/>
  <c r="G55" i="6" s="1"/>
  <c r="G56" i="6" s="1"/>
  <c r="N31" i="6"/>
  <c r="N42" i="6" s="1"/>
  <c r="N43" i="6" s="1"/>
  <c r="G31" i="6"/>
  <c r="J31" i="6"/>
  <c r="D6" i="6"/>
  <c r="D13" i="6" s="1"/>
  <c r="E46" i="6"/>
  <c r="B46" i="6"/>
  <c r="G7" i="6"/>
  <c r="G6" i="6"/>
  <c r="D14" i="6" l="1"/>
  <c r="G42" i="6"/>
  <c r="G43" i="6" s="1"/>
  <c r="G13" i="6"/>
  <c r="G14" i="6" s="1"/>
  <c r="J39" i="6"/>
  <c r="J40" i="6" s="1"/>
  <c r="B13" i="6"/>
  <c r="A14" i="6" s="1"/>
  <c r="E55" i="6"/>
  <c r="E56" i="6" s="1"/>
  <c r="M18" i="6"/>
  <c r="M27" i="6" s="1"/>
  <c r="M28" i="6" s="1"/>
  <c r="A31" i="6"/>
  <c r="A42" i="6" s="1"/>
  <c r="A43" i="6" s="1"/>
</calcChain>
</file>

<file path=xl/sharedStrings.xml><?xml version="1.0" encoding="utf-8"?>
<sst xmlns="http://schemas.openxmlformats.org/spreadsheetml/2006/main" count="254" uniqueCount="130">
  <si>
    <t>Balance de Apertura</t>
  </si>
  <si>
    <t>Prácticado Al: 1 de Julio del 2022</t>
  </si>
  <si>
    <t>(Expresado en Bolivianos)</t>
  </si>
  <si>
    <t>ACTIVO</t>
  </si>
  <si>
    <t>ACTIVO CORRIENTE</t>
  </si>
  <si>
    <t>ACTIVO DISPONIBLE</t>
  </si>
  <si>
    <t>Caja M/N</t>
  </si>
  <si>
    <t>TOTAL ACTIVO CORRIENTE</t>
  </si>
  <si>
    <t>ACTIVO NO CORRIENTE</t>
  </si>
  <si>
    <t>TOTAL ACTIVO NO CORRIENTE</t>
  </si>
  <si>
    <t>TOTAL ACTIVOS</t>
  </si>
  <si>
    <t>PASIVO</t>
  </si>
  <si>
    <t>PASIVO CORRIENTE</t>
  </si>
  <si>
    <t>PASIVO NO CORRIENTE</t>
  </si>
  <si>
    <t>TOTAL PASIVOS</t>
  </si>
  <si>
    <t>PATRIMONIO</t>
  </si>
  <si>
    <t xml:space="preserve"> </t>
  </si>
  <si>
    <t>Capital Social</t>
  </si>
  <si>
    <t>TOTAL PASIVO Y PATRIMONIO</t>
  </si>
  <si>
    <t>CONTADOR</t>
  </si>
  <si>
    <t xml:space="preserve">GERENTE </t>
  </si>
  <si>
    <t>LIBRO DIARIO (COMPROBANTES)</t>
  </si>
  <si>
    <t>FECHA</t>
  </si>
  <si>
    <t>DETALLE</t>
  </si>
  <si>
    <t>DEBE</t>
  </si>
  <si>
    <t>HABER</t>
  </si>
  <si>
    <t xml:space="preserve">     ------------ CT-01 ----------</t>
  </si>
  <si>
    <t>CAPITAL SOCIAL</t>
  </si>
  <si>
    <t xml:space="preserve">     ------------ CE-01 ----------</t>
  </si>
  <si>
    <t xml:space="preserve">     ------------ CE-02 ----------</t>
  </si>
  <si>
    <t xml:space="preserve">     ------------ CE-03 ----------</t>
  </si>
  <si>
    <t xml:space="preserve">cuentcorriente en el banco bisa </t>
  </si>
  <si>
    <t xml:space="preserve">varios muebles </t>
  </si>
  <si>
    <t xml:space="preserve">computadoras con un valor de </t>
  </si>
  <si>
    <t>Empresa: LOS PENOCOS SA</t>
  </si>
  <si>
    <t>CAJA M/N</t>
  </si>
  <si>
    <t>BANCO BISA M/N</t>
  </si>
  <si>
    <t>VARIOS MUEBLES</t>
  </si>
  <si>
    <t>EQUIPOS DE COMPUTACION</t>
  </si>
  <si>
    <t>Glosa: Por inicio de actividades comerciales</t>
  </si>
  <si>
    <t>HONORARIOS PROFECIONALES</t>
  </si>
  <si>
    <t>CREDITO FISCAL</t>
  </si>
  <si>
    <t>Glosa:  Pagos de honorarios  segun factura # 555</t>
  </si>
  <si>
    <t>INVENTARIO MERCADERIA</t>
  </si>
  <si>
    <t>SEGURO PAGO  POR ADELANTADO</t>
  </si>
  <si>
    <t>Glosa: Compra de mercaderia según factura #13</t>
  </si>
  <si>
    <t>Glosa: Pago del seguro vehicular 1 año según factura #5441</t>
  </si>
  <si>
    <t xml:space="preserve">     ------------ CI-01 ----------</t>
  </si>
  <si>
    <t>VENTAS</t>
  </si>
  <si>
    <t>DEBITO FISCAL</t>
  </si>
  <si>
    <t>IT POR PAGAR</t>
  </si>
  <si>
    <t xml:space="preserve">   IT </t>
  </si>
  <si>
    <t xml:space="preserve">     ------------ CE-04 ----------</t>
  </si>
  <si>
    <t>DEVOLUCION SOBRE VENTAS</t>
  </si>
  <si>
    <t xml:space="preserve">Glosa: </t>
  </si>
  <si>
    <t xml:space="preserve">     ------------ Ct-02 ----------</t>
  </si>
  <si>
    <t>INVENTRIO DE MERCADERIA</t>
  </si>
  <si>
    <t>CUENTAS POR PAGAR</t>
  </si>
  <si>
    <t xml:space="preserve">     ------------ Ct-03 ----------</t>
  </si>
  <si>
    <t>Glosa: Ventas por mercaderia sra leila gomes</t>
  </si>
  <si>
    <t>Glosa: compra de mercaderia según facctura</t>
  </si>
  <si>
    <t xml:space="preserve">GLOSA: Devolucion de mercaderia </t>
  </si>
  <si>
    <t xml:space="preserve">GLOSA : Pagps de sueldo según planilla mes de noviembre </t>
  </si>
  <si>
    <t>APORTE LABORAL GESTORA POR PAGAR</t>
  </si>
  <si>
    <t>SUELDOS Y SALARIOS</t>
  </si>
  <si>
    <t xml:space="preserve">     ------------ CT-04 ----------</t>
  </si>
  <si>
    <t>APORTES PATRONALES GESTORA 6,71%</t>
  </si>
  <si>
    <t>CAJA DE SALUD 10%</t>
  </si>
  <si>
    <t>AGUINALDOS</t>
  </si>
  <si>
    <t>APORTE PATRONAL GESTORA POR PAGAR</t>
  </si>
  <si>
    <t>CAJA DE SALUD POR PAGAR</t>
  </si>
  <si>
    <t>AGUINALDOS  POR PAGAR</t>
  </si>
  <si>
    <t>PRIMAS</t>
  </si>
  <si>
    <t xml:space="preserve">INDEMNIZACION </t>
  </si>
  <si>
    <t>PREVISION PARA INDEMNIZACION</t>
  </si>
  <si>
    <t>PRIMAS POR PAGAR</t>
  </si>
  <si>
    <t xml:space="preserve">GLOSA: Ppor registro de planilla de aportes y banaficios </t>
  </si>
  <si>
    <t xml:space="preserve">     ------------ CE-06 ----------</t>
  </si>
  <si>
    <t>GLOSA compra de mercaderia según factura f-542</t>
  </si>
  <si>
    <t xml:space="preserve">     ------------ CE-07 ----------</t>
  </si>
  <si>
    <t>GLOSA pago de deuda f-542 a prosertec</t>
  </si>
  <si>
    <t xml:space="preserve">     ------------ CE-08 ----------</t>
  </si>
  <si>
    <t>DESCUENTOS EN COMPRAS</t>
  </si>
  <si>
    <t>GLOSA :Compra de mercaderia a bat srl según factura #005</t>
  </si>
  <si>
    <t xml:space="preserve">     ------------ CT-05 ----------</t>
  </si>
  <si>
    <t>FECHA: 30 DE JUNIO DE 2023</t>
  </si>
  <si>
    <t>FIRMA</t>
  </si>
  <si>
    <t>Nº DE DOCUMENTO DE IDENTIDAD</t>
  </si>
  <si>
    <t>NOMBRE DEL EMPLEADOR O REPRESENTANTE  LEGAL</t>
  </si>
  <si>
    <t>3200134 S.C</t>
  </si>
  <si>
    <t>EDUARDO VARGAS ROMAN</t>
  </si>
  <si>
    <t>TOTALES</t>
  </si>
  <si>
    <t>TRABAJADORES</t>
  </si>
  <si>
    <t>(K)</t>
  </si>
  <si>
    <t>(G)</t>
  </si>
  <si>
    <t>BONOS</t>
  </si>
  <si>
    <t>LES</t>
  </si>
  <si>
    <t>PRODUCC.</t>
  </si>
  <si>
    <t>PAGADO</t>
  </si>
  <si>
    <t>No.</t>
  </si>
  <si>
    <t>OTROS</t>
  </si>
  <si>
    <t>DOMINICA-</t>
  </si>
  <si>
    <t>BONO DE</t>
  </si>
  <si>
    <t>MONTO</t>
  </si>
  <si>
    <t>INDEMNIZACION</t>
  </si>
  <si>
    <t>AGUINALDO</t>
  </si>
  <si>
    <t>CAJA DE SALUD</t>
  </si>
  <si>
    <t>TOTAL DCTOS.</t>
  </si>
  <si>
    <t>TOTAL GANADO</t>
  </si>
  <si>
    <t>GESTORA</t>
  </si>
  <si>
    <t>HRS. EXTRAS</t>
  </si>
  <si>
    <t>BONO DE ANTIGÜEDAD</t>
  </si>
  <si>
    <t>HABER BASICO</t>
  </si>
  <si>
    <t>DÍAS PAGADOS MES</t>
  </si>
  <si>
    <t>FECHA DE INGRESO</t>
  </si>
  <si>
    <t>OCUPACIÓN QUE 
DESEMPEÑA</t>
  </si>
  <si>
    <t>SEXO
(F/M)</t>
  </si>
  <si>
    <t>FECHA DE NACIMIENTO</t>
  </si>
  <si>
    <t>NACIONALIDAD</t>
  </si>
  <si>
    <t>APELLIDOS Y NOMBRE</t>
  </si>
  <si>
    <t>CARNET DE IDENTIDAD</t>
  </si>
  <si>
    <t>Nº</t>
  </si>
  <si>
    <t xml:space="preserve">                                                                               CORRESPONDIENTE AL MES DE NOVIEMBRE DE 2023</t>
  </si>
  <si>
    <t>PERSONAL PERMANENTE</t>
  </si>
  <si>
    <t>PLANILLA DE APORTES PATRONALES Y BENEFICIOS SOCIALES</t>
  </si>
  <si>
    <t>TELEFÓNO</t>
  </si>
  <si>
    <t>DIRECCIÓN</t>
  </si>
  <si>
    <t>NIT</t>
  </si>
  <si>
    <t>Nº EMPLEADOR CAJA DE SALUD</t>
  </si>
  <si>
    <t>NOMBRE O RAZÓN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</si>
</sst>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Bs&quot;* #,##0.00_-;\-&quot;Bs&quot;* #,##0.00_-;_-&quot;Bs&quot;* &quot;-&quot;??_-;_-@_-"/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9"/>
      <name val="Arial"/>
      <family val="2"/>
    </font>
    <font>
      <sz val="12"/>
      <name val="Arial Narrow"/>
      <family val="2"/>
    </font>
    <font>
      <sz val="10"/>
      <color theme="1"/>
      <name val="Calibri"/>
      <family val="2"/>
      <scheme val="minor"/>
    </font>
    <font>
      <b/>
      <sz val="14"/>
      <name val="Arial"/>
      <family val="2"/>
    </font>
    <font>
      <sz val="12"/>
      <name val="Times New Roman"/>
      <family val="1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9" fontId="8" fillId="0" borderId="0" applyFont="0" applyFill="0" applyBorder="0" applyAlignment="0" applyProtection="0"/>
    <xf numFmtId="0" fontId="4" fillId="0" borderId="0"/>
    <xf numFmtId="9" fontId="8" fillId="0" borderId="0" applyFont="0" applyFill="0" applyBorder="0" applyAlignment="0" applyProtection="0"/>
  </cellStyleXfs>
  <cellXfs count="159">
    <xf numFmtId="0" fontId="0" fillId="0" borderId="0" xfId="0"/>
    <xf numFmtId="0" fontId="1" fillId="0" borderId="0" xfId="0" applyFont="1"/>
    <xf numFmtId="0" fontId="3" fillId="0" borderId="0" xfId="0" applyFont="1"/>
    <xf numFmtId="2" fontId="0" fillId="0" borderId="0" xfId="0" applyNumberFormat="1"/>
    <xf numFmtId="43" fontId="0" fillId="0" borderId="0" xfId="0" applyNumberFormat="1"/>
    <xf numFmtId="0" fontId="4" fillId="0" borderId="0" xfId="0" applyFont="1"/>
    <xf numFmtId="0" fontId="5" fillId="0" borderId="0" xfId="0" applyFont="1"/>
    <xf numFmtId="43" fontId="3" fillId="0" borderId="0" xfId="0" applyNumberFormat="1" applyFont="1"/>
    <xf numFmtId="43" fontId="1" fillId="0" borderId="0" xfId="0" applyNumberFormat="1" applyFont="1"/>
    <xf numFmtId="2" fontId="1" fillId="0" borderId="1" xfId="0" applyNumberFormat="1" applyFont="1" applyBorder="1"/>
    <xf numFmtId="0" fontId="6" fillId="0" borderId="0" xfId="0" applyFont="1"/>
    <xf numFmtId="2" fontId="1" fillId="0" borderId="0" xfId="0" applyNumberFormat="1" applyFont="1"/>
    <xf numFmtId="0" fontId="1" fillId="0" borderId="0" xfId="0" applyFont="1" applyAlignment="1">
      <alignment horizontal="center"/>
    </xf>
    <xf numFmtId="4" fontId="0" fillId="0" borderId="0" xfId="0" applyNumberFormat="1"/>
    <xf numFmtId="0" fontId="1" fillId="0" borderId="3" xfId="0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14" fontId="0" fillId="0" borderId="3" xfId="0" applyNumberFormat="1" applyBorder="1"/>
    <xf numFmtId="0" fontId="0" fillId="0" borderId="3" xfId="0" applyBorder="1"/>
    <xf numFmtId="4" fontId="0" fillId="0" borderId="3" xfId="0" applyNumberFormat="1" applyBorder="1"/>
    <xf numFmtId="0" fontId="0" fillId="0" borderId="3" xfId="0" applyBorder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/>
    <xf numFmtId="0" fontId="0" fillId="0" borderId="3" xfId="0" applyBorder="1" applyAlignment="1">
      <alignment horizontal="left"/>
    </xf>
    <xf numFmtId="44" fontId="0" fillId="0" borderId="3" xfId="0" applyNumberFormat="1" applyBorder="1"/>
    <xf numFmtId="14" fontId="3" fillId="0" borderId="3" xfId="0" applyNumberFormat="1" applyFont="1" applyBorder="1"/>
    <xf numFmtId="0" fontId="1" fillId="0" borderId="3" xfId="0" applyFont="1" applyBorder="1" applyAlignment="1">
      <alignment horizontal="center"/>
    </xf>
    <xf numFmtId="0" fontId="0" fillId="0" borderId="3" xfId="0" applyFont="1" applyBorder="1"/>
    <xf numFmtId="0" fontId="0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3" xfId="0" applyFont="1" applyBorder="1" applyAlignment="1">
      <alignment horizontal="left"/>
    </xf>
    <xf numFmtId="0" fontId="0" fillId="0" borderId="0" xfId="0" applyBorder="1"/>
    <xf numFmtId="4" fontId="0" fillId="0" borderId="0" xfId="0" applyNumberFormat="1" applyBorder="1"/>
    <xf numFmtId="0" fontId="9" fillId="0" borderId="0" xfId="2" applyFont="1"/>
    <xf numFmtId="0" fontId="10" fillId="0" borderId="0" xfId="2" applyFont="1"/>
    <xf numFmtId="0" fontId="11" fillId="0" borderId="0" xfId="2" applyFont="1"/>
    <xf numFmtId="0" fontId="4" fillId="0" borderId="0" xfId="2"/>
    <xf numFmtId="0" fontId="9" fillId="0" borderId="2" xfId="2" applyFont="1" applyBorder="1"/>
    <xf numFmtId="0" fontId="10" fillId="0" borderId="2" xfId="2" applyFont="1" applyBorder="1"/>
    <xf numFmtId="0" fontId="11" fillId="0" borderId="4" xfId="2" applyFont="1" applyBorder="1"/>
    <xf numFmtId="4" fontId="11" fillId="0" borderId="0" xfId="2" applyNumberFormat="1" applyFont="1"/>
    <xf numFmtId="9" fontId="11" fillId="0" borderId="0" xfId="2" applyNumberFormat="1" applyFont="1"/>
    <xf numFmtId="4" fontId="4" fillId="0" borderId="0" xfId="2" applyNumberFormat="1"/>
    <xf numFmtId="0" fontId="9" fillId="0" borderId="0" xfId="2" applyFont="1" applyAlignment="1">
      <alignment horizontal="center" vertical="center"/>
    </xf>
    <xf numFmtId="9" fontId="11" fillId="0" borderId="0" xfId="3" applyFont="1"/>
    <xf numFmtId="4" fontId="11" fillId="2" borderId="5" xfId="2" applyNumberFormat="1" applyFont="1" applyFill="1" applyBorder="1"/>
    <xf numFmtId="4" fontId="11" fillId="3" borderId="5" xfId="2" applyNumberFormat="1" applyFont="1" applyFill="1" applyBorder="1"/>
    <xf numFmtId="4" fontId="11" fillId="0" borderId="5" xfId="2" applyNumberFormat="1" applyFont="1" applyBorder="1"/>
    <xf numFmtId="4" fontId="12" fillId="0" borderId="5" xfId="2" applyNumberFormat="1" applyFont="1" applyBorder="1"/>
    <xf numFmtId="4" fontId="14" fillId="2" borderId="8" xfId="2" applyNumberFormat="1" applyFont="1" applyFill="1" applyBorder="1"/>
    <xf numFmtId="4" fontId="14" fillId="3" borderId="8" xfId="2" applyNumberFormat="1" applyFont="1" applyFill="1" applyBorder="1"/>
    <xf numFmtId="4" fontId="11" fillId="3" borderId="3" xfId="2" applyNumberFormat="1" applyFont="1" applyFill="1" applyBorder="1"/>
    <xf numFmtId="4" fontId="11" fillId="0" borderId="3" xfId="2" applyNumberFormat="1" applyFont="1" applyBorder="1"/>
    <xf numFmtId="4" fontId="14" fillId="0" borderId="8" xfId="2" applyNumberFormat="1" applyFont="1" applyBorder="1"/>
    <xf numFmtId="0" fontId="14" fillId="0" borderId="8" xfId="2" applyFont="1" applyBorder="1" applyAlignment="1">
      <alignment horizontal="center"/>
    </xf>
    <xf numFmtId="0" fontId="14" fillId="0" borderId="8" xfId="2" applyFont="1" applyBorder="1"/>
    <xf numFmtId="0" fontId="14" fillId="0" borderId="12" xfId="2" applyFont="1" applyBorder="1" applyAlignment="1">
      <alignment horizontal="center" vertical="center"/>
    </xf>
    <xf numFmtId="4" fontId="11" fillId="2" borderId="13" xfId="2" applyNumberFormat="1" applyFont="1" applyFill="1" applyBorder="1" applyAlignment="1">
      <alignment horizontal="right"/>
    </xf>
    <xf numFmtId="4" fontId="11" fillId="3" borderId="13" xfId="2" applyNumberFormat="1" applyFont="1" applyFill="1" applyBorder="1" applyAlignment="1">
      <alignment horizontal="right"/>
    </xf>
    <xf numFmtId="4" fontId="11" fillId="0" borderId="14" xfId="2" applyNumberFormat="1" applyFont="1" applyBorder="1"/>
    <xf numFmtId="0" fontId="11" fillId="0" borderId="14" xfId="2" applyFont="1" applyBorder="1" applyAlignment="1">
      <alignment horizontal="center"/>
    </xf>
    <xf numFmtId="14" fontId="11" fillId="0" borderId="14" xfId="2" applyNumberFormat="1" applyFont="1" applyBorder="1"/>
    <xf numFmtId="0" fontId="15" fillId="0" borderId="14" xfId="2" applyFont="1" applyBorder="1"/>
    <xf numFmtId="0" fontId="11" fillId="0" borderId="13" xfId="2" applyFont="1" applyBorder="1"/>
    <xf numFmtId="0" fontId="11" fillId="0" borderId="14" xfId="2" applyFont="1" applyBorder="1"/>
    <xf numFmtId="0" fontId="11" fillId="0" borderId="18" xfId="2" applyFont="1" applyBorder="1" applyAlignment="1">
      <alignment horizontal="center"/>
    </xf>
    <xf numFmtId="9" fontId="0" fillId="0" borderId="0" xfId="0" applyNumberFormat="1"/>
    <xf numFmtId="4" fontId="11" fillId="0" borderId="13" xfId="2" applyNumberFormat="1" applyFont="1" applyBorder="1"/>
    <xf numFmtId="0" fontId="11" fillId="0" borderId="13" xfId="2" applyFont="1" applyBorder="1" applyAlignment="1">
      <alignment horizontal="center"/>
    </xf>
    <xf numFmtId="14" fontId="11" fillId="0" borderId="13" xfId="2" applyNumberFormat="1" applyFont="1" applyBorder="1"/>
    <xf numFmtId="0" fontId="15" fillId="0" borderId="13" xfId="2" applyFont="1" applyBorder="1"/>
    <xf numFmtId="0" fontId="11" fillId="0" borderId="21" xfId="2" applyFont="1" applyBorder="1" applyAlignment="1">
      <alignment horizontal="center"/>
    </xf>
    <xf numFmtId="4" fontId="14" fillId="2" borderId="22" xfId="2" applyNumberFormat="1" applyFont="1" applyFill="1" applyBorder="1"/>
    <xf numFmtId="4" fontId="14" fillId="3" borderId="22" xfId="2" applyNumberFormat="1" applyFont="1" applyFill="1" applyBorder="1"/>
    <xf numFmtId="4" fontId="11" fillId="3" borderId="22" xfId="2" applyNumberFormat="1" applyFont="1" applyFill="1" applyBorder="1"/>
    <xf numFmtId="4" fontId="14" fillId="0" borderId="22" xfId="2" applyNumberFormat="1" applyFont="1" applyBorder="1"/>
    <xf numFmtId="0" fontId="14" fillId="0" borderId="22" xfId="2" applyFont="1" applyBorder="1" applyAlignment="1">
      <alignment horizontal="center"/>
    </xf>
    <xf numFmtId="0" fontId="14" fillId="0" borderId="22" xfId="2" applyFont="1" applyBorder="1"/>
    <xf numFmtId="0" fontId="14" fillId="0" borderId="26" xfId="2" applyFont="1" applyBorder="1" applyAlignment="1">
      <alignment horizontal="center" vertical="center"/>
    </xf>
    <xf numFmtId="0" fontId="16" fillId="0" borderId="0" xfId="0" applyFont="1"/>
    <xf numFmtId="10" fontId="10" fillId="2" borderId="27" xfId="1" applyNumberFormat="1" applyFont="1" applyFill="1" applyBorder="1" applyAlignment="1">
      <alignment horizontal="center"/>
    </xf>
    <xf numFmtId="9" fontId="10" fillId="3" borderId="27" xfId="2" applyNumberFormat="1" applyFont="1" applyFill="1" applyBorder="1" applyAlignment="1">
      <alignment horizontal="center"/>
    </xf>
    <xf numFmtId="0" fontId="10" fillId="3" borderId="27" xfId="2" applyFont="1" applyFill="1" applyBorder="1" applyAlignment="1">
      <alignment horizontal="center"/>
    </xf>
    <xf numFmtId="10" fontId="10" fillId="3" borderId="27" xfId="2" applyNumberFormat="1" applyFont="1" applyFill="1" applyBorder="1" applyAlignment="1">
      <alignment horizontal="center"/>
    </xf>
    <xf numFmtId="0" fontId="10" fillId="0" borderId="27" xfId="2" applyFont="1" applyBorder="1" applyAlignment="1">
      <alignment horizontal="center"/>
    </xf>
    <xf numFmtId="0" fontId="10" fillId="0" borderId="0" xfId="2" applyFont="1" applyAlignment="1">
      <alignment horizontal="center"/>
    </xf>
    <xf numFmtId="0" fontId="10" fillId="0" borderId="28" xfId="2" applyFont="1" applyBorder="1" applyAlignment="1">
      <alignment horizontal="center"/>
    </xf>
    <xf numFmtId="0" fontId="10" fillId="0" borderId="32" xfId="2" applyFont="1" applyBorder="1" applyAlignment="1">
      <alignment horizontal="center"/>
    </xf>
    <xf numFmtId="0" fontId="10" fillId="0" borderId="30" xfId="2" applyFont="1" applyBorder="1" applyAlignment="1">
      <alignment horizontal="center" vertical="center"/>
    </xf>
    <xf numFmtId="0" fontId="10" fillId="0" borderId="31" xfId="2" applyFont="1" applyBorder="1" applyAlignment="1">
      <alignment horizontal="center"/>
    </xf>
    <xf numFmtId="0" fontId="10" fillId="0" borderId="31" xfId="2" applyFont="1" applyBorder="1" applyAlignment="1">
      <alignment horizontal="center" vertical="center"/>
    </xf>
    <xf numFmtId="0" fontId="11" fillId="0" borderId="0" xfId="2" applyFont="1" applyAlignment="1">
      <alignment horizontal="center"/>
    </xf>
    <xf numFmtId="0" fontId="17" fillId="0" borderId="0" xfId="2" applyFont="1" applyAlignment="1">
      <alignment horizontal="center"/>
    </xf>
    <xf numFmtId="0" fontId="9" fillId="0" borderId="0" xfId="0" applyFont="1"/>
    <xf numFmtId="0" fontId="11" fillId="0" borderId="0" xfId="2" applyFont="1" applyAlignment="1">
      <alignment horizontal="left"/>
    </xf>
    <xf numFmtId="0" fontId="18" fillId="0" borderId="0" xfId="2" applyFont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1" fillId="0" borderId="0" xfId="2" applyFont="1" applyAlignment="1">
      <alignment horizontal="left"/>
    </xf>
    <xf numFmtId="0" fontId="17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10" fillId="0" borderId="33" xfId="2" applyFont="1" applyBorder="1" applyAlignment="1">
      <alignment horizontal="center" vertical="center"/>
    </xf>
    <xf numFmtId="0" fontId="10" fillId="0" borderId="29" xfId="2" applyFont="1" applyBorder="1" applyAlignment="1">
      <alignment horizontal="center" vertical="center"/>
    </xf>
    <xf numFmtId="0" fontId="10" fillId="0" borderId="33" xfId="2" applyFont="1" applyBorder="1" applyAlignment="1">
      <alignment horizontal="center" vertical="center" wrapText="1"/>
    </xf>
    <xf numFmtId="0" fontId="10" fillId="0" borderId="29" xfId="2" applyFont="1" applyBorder="1" applyAlignment="1">
      <alignment horizontal="center" vertical="center" wrapText="1"/>
    </xf>
    <xf numFmtId="0" fontId="10" fillId="0" borderId="30" xfId="2" applyFont="1" applyBorder="1" applyAlignment="1">
      <alignment horizontal="center" vertical="center"/>
    </xf>
    <xf numFmtId="0" fontId="10" fillId="0" borderId="31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28" xfId="2" applyFont="1" applyBorder="1" applyAlignment="1">
      <alignment horizontal="center" vertical="center"/>
    </xf>
    <xf numFmtId="0" fontId="10" fillId="0" borderId="32" xfId="2" applyFont="1" applyBorder="1" applyAlignment="1">
      <alignment horizontal="center" vertical="center" wrapText="1"/>
    </xf>
    <xf numFmtId="0" fontId="10" fillId="0" borderId="27" xfId="2" applyFont="1" applyBorder="1" applyAlignment="1">
      <alignment horizontal="center" vertical="center" wrapText="1"/>
    </xf>
    <xf numFmtId="0" fontId="10" fillId="2" borderId="32" xfId="2" applyFont="1" applyFill="1" applyBorder="1" applyAlignment="1">
      <alignment horizontal="center" vertical="center" wrapText="1"/>
    </xf>
    <xf numFmtId="0" fontId="4" fillId="2" borderId="27" xfId="2" applyFill="1" applyBorder="1" applyAlignment="1">
      <alignment horizontal="center" vertical="center" wrapText="1"/>
    </xf>
    <xf numFmtId="0" fontId="10" fillId="0" borderId="30" xfId="2" applyFont="1" applyBorder="1" applyAlignment="1">
      <alignment horizontal="center"/>
    </xf>
    <xf numFmtId="0" fontId="10" fillId="0" borderId="31" xfId="2" applyFont="1" applyBorder="1" applyAlignment="1">
      <alignment horizontal="center"/>
    </xf>
    <xf numFmtId="0" fontId="10" fillId="3" borderId="32" xfId="2" applyFont="1" applyFill="1" applyBorder="1" applyAlignment="1">
      <alignment horizontal="center" vertical="center" wrapText="1"/>
    </xf>
    <xf numFmtId="0" fontId="10" fillId="3" borderId="27" xfId="2" applyFont="1" applyFill="1" applyBorder="1" applyAlignment="1">
      <alignment horizontal="center" vertical="center" wrapText="1"/>
    </xf>
    <xf numFmtId="0" fontId="4" fillId="0" borderId="27" xfId="2" applyBorder="1" applyAlignment="1">
      <alignment horizontal="center" vertical="center" wrapText="1"/>
    </xf>
    <xf numFmtId="0" fontId="14" fillId="0" borderId="25" xfId="2" applyFont="1" applyBorder="1" applyAlignment="1">
      <alignment horizontal="left"/>
    </xf>
    <xf numFmtId="0" fontId="14" fillId="0" borderId="24" xfId="2" applyFont="1" applyBorder="1" applyAlignment="1">
      <alignment horizontal="left"/>
    </xf>
    <xf numFmtId="0" fontId="14" fillId="0" borderId="23" xfId="2" applyFont="1" applyBorder="1" applyAlignment="1">
      <alignment horizontal="left"/>
    </xf>
    <xf numFmtId="0" fontId="11" fillId="0" borderId="20" xfId="2" applyFont="1" applyBorder="1" applyAlignment="1">
      <alignment horizontal="left"/>
    </xf>
    <xf numFmtId="0" fontId="11" fillId="0" borderId="4" xfId="2" applyFont="1" applyBorder="1" applyAlignment="1">
      <alignment horizontal="left"/>
    </xf>
    <xf numFmtId="0" fontId="11" fillId="0" borderId="19" xfId="2" applyFont="1" applyBorder="1" applyAlignment="1">
      <alignment horizontal="left"/>
    </xf>
    <xf numFmtId="0" fontId="11" fillId="0" borderId="17" xfId="2" applyFont="1" applyBorder="1" applyAlignment="1">
      <alignment horizontal="left"/>
    </xf>
    <xf numFmtId="0" fontId="11" fillId="0" borderId="16" xfId="2" applyFont="1" applyBorder="1" applyAlignment="1">
      <alignment horizontal="left"/>
    </xf>
    <xf numFmtId="0" fontId="11" fillId="0" borderId="15" xfId="2" applyFont="1" applyBorder="1" applyAlignment="1">
      <alignment horizontal="left"/>
    </xf>
    <xf numFmtId="0" fontId="4" fillId="3" borderId="27" xfId="2" applyFill="1" applyBorder="1" applyAlignment="1">
      <alignment horizontal="center" vertical="center" wrapText="1"/>
    </xf>
    <xf numFmtId="0" fontId="10" fillId="0" borderId="27" xfId="2" applyFont="1" applyBorder="1" applyAlignment="1">
      <alignment horizontal="center" vertical="center"/>
    </xf>
    <xf numFmtId="0" fontId="4" fillId="0" borderId="29" xfId="2" applyBorder="1" applyAlignment="1">
      <alignment horizontal="center" vertical="center" wrapText="1"/>
    </xf>
    <xf numFmtId="0" fontId="10" fillId="0" borderId="2" xfId="2" applyFont="1" applyBorder="1" applyAlignment="1">
      <alignment horizontal="center"/>
    </xf>
    <xf numFmtId="0" fontId="14" fillId="0" borderId="11" xfId="2" applyFont="1" applyBorder="1" applyAlignment="1">
      <alignment horizontal="left"/>
    </xf>
    <xf numFmtId="0" fontId="14" fillId="0" borderId="10" xfId="2" applyFont="1" applyBorder="1" applyAlignment="1">
      <alignment horizontal="left"/>
    </xf>
    <xf numFmtId="0" fontId="14" fillId="0" borderId="9" xfId="2" applyFont="1" applyBorder="1" applyAlignment="1">
      <alignment horizontal="left"/>
    </xf>
    <xf numFmtId="0" fontId="13" fillId="0" borderId="7" xfId="2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/>
    </xf>
    <xf numFmtId="0" fontId="10" fillId="0" borderId="0" xfId="2" applyFont="1" applyAlignment="1">
      <alignment horizontal="center"/>
    </xf>
    <xf numFmtId="4" fontId="0" fillId="0" borderId="34" xfId="0" applyNumberFormat="1" applyBorder="1"/>
    <xf numFmtId="4" fontId="0" fillId="0" borderId="35" xfId="0" applyNumberFormat="1" applyBorder="1"/>
    <xf numFmtId="4" fontId="0" fillId="4" borderId="4" xfId="0" applyNumberFormat="1" applyFill="1" applyBorder="1" applyAlignment="1">
      <alignment horizontal="center"/>
    </xf>
    <xf numFmtId="0" fontId="0" fillId="5" borderId="0" xfId="0" applyFill="1"/>
    <xf numFmtId="4" fontId="0" fillId="5" borderId="0" xfId="0" applyNumberFormat="1" applyFill="1"/>
    <xf numFmtId="4" fontId="0" fillId="0" borderId="0" xfId="0" applyNumberFormat="1" applyAlignment="1">
      <alignment horizontal="center"/>
    </xf>
    <xf numFmtId="4" fontId="16" fillId="4" borderId="4" xfId="0" applyNumberFormat="1" applyFont="1" applyFill="1" applyBorder="1" applyAlignment="1">
      <alignment horizontal="center"/>
    </xf>
    <xf numFmtId="4" fontId="19" fillId="4" borderId="4" xfId="0" applyNumberFormat="1" applyFont="1" applyFill="1" applyBorder="1" applyAlignment="1">
      <alignment horizontal="center"/>
    </xf>
    <xf numFmtId="4" fontId="1" fillId="0" borderId="0" xfId="0" applyNumberFormat="1" applyFont="1"/>
    <xf numFmtId="4" fontId="1" fillId="6" borderId="0" xfId="0" applyNumberFormat="1" applyFont="1" applyFill="1"/>
    <xf numFmtId="4" fontId="0" fillId="0" borderId="4" xfId="0" applyNumberFormat="1" applyBorder="1"/>
    <xf numFmtId="4" fontId="0" fillId="0" borderId="19" xfId="0" applyNumberFormat="1" applyBorder="1"/>
    <xf numFmtId="4" fontId="0" fillId="0" borderId="36" xfId="0" applyNumberFormat="1" applyBorder="1"/>
    <xf numFmtId="4" fontId="0" fillId="0" borderId="20" xfId="0" applyNumberFormat="1" applyBorder="1"/>
    <xf numFmtId="4" fontId="7" fillId="4" borderId="4" xfId="0" applyNumberFormat="1" applyFont="1" applyFill="1" applyBorder="1" applyAlignment="1">
      <alignment horizontal="center"/>
    </xf>
    <xf numFmtId="4" fontId="1" fillId="7" borderId="0" xfId="0" applyNumberFormat="1" applyFont="1" applyFill="1"/>
    <xf numFmtId="4" fontId="1" fillId="7" borderId="34" xfId="0" applyNumberFormat="1" applyFont="1" applyFill="1" applyBorder="1"/>
    <xf numFmtId="4" fontId="1" fillId="7" borderId="0" xfId="0" applyNumberFormat="1" applyFont="1" applyFill="1" applyBorder="1"/>
    <xf numFmtId="4" fontId="0" fillId="7" borderId="0" xfId="0" applyNumberFormat="1" applyFill="1"/>
  </cellXfs>
  <cellStyles count="4">
    <cellStyle name="Normal" xfId="0" builtinId="0"/>
    <cellStyle name="Normal 2" xfId="2" xr:uid="{689C966B-FC77-47C9-A783-EE35C827DD7C}"/>
    <cellStyle name="Porcentaje" xfId="1" builtinId="5"/>
    <cellStyle name="Porcentaje 2" xfId="3" xr:uid="{B5AB099B-D387-4E1C-B935-D3DBF98E2D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731520</xdr:colOff>
      <xdr:row>4</xdr:row>
      <xdr:rowOff>7620</xdr:rowOff>
    </xdr:from>
    <xdr:to>
      <xdr:col>6</xdr:col>
      <xdr:colOff>731520</xdr:colOff>
      <xdr:row>10</xdr:row>
      <xdr:rowOff>144780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8BBC10AC-0307-439C-A452-0CB88112CBBB}"/>
            </a:ext>
          </a:extLst>
        </xdr:cNvPr>
        <xdr:cNvCxnSpPr/>
      </xdr:nvCxnSpPr>
      <xdr:spPr>
        <a:xfrm>
          <a:off x="7863840" y="739140"/>
          <a:ext cx="0" cy="1234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662940</xdr:colOff>
      <xdr:row>4</xdr:row>
      <xdr:rowOff>0</xdr:rowOff>
    </xdr:from>
    <xdr:to>
      <xdr:col>8</xdr:col>
      <xdr:colOff>68580</xdr:colOff>
      <xdr:row>4</xdr:row>
      <xdr:rowOff>15240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681CD4FC-823D-45EB-8353-F2884DE954B0}"/>
            </a:ext>
          </a:extLst>
        </xdr:cNvPr>
        <xdr:cNvCxnSpPr/>
      </xdr:nvCxnSpPr>
      <xdr:spPr>
        <a:xfrm>
          <a:off x="7056120" y="73152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731520</xdr:colOff>
      <xdr:row>74</xdr:row>
      <xdr:rowOff>7620</xdr:rowOff>
    </xdr:from>
    <xdr:to>
      <xdr:col>6</xdr:col>
      <xdr:colOff>731520</xdr:colOff>
      <xdr:row>80</xdr:row>
      <xdr:rowOff>144780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34E38241-FC2F-412C-BD3E-295AB72A4932}"/>
            </a:ext>
          </a:extLst>
        </xdr:cNvPr>
        <xdr:cNvCxnSpPr/>
      </xdr:nvCxnSpPr>
      <xdr:spPr>
        <a:xfrm>
          <a:off x="7863840" y="739140"/>
          <a:ext cx="0" cy="1234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662940</xdr:colOff>
      <xdr:row>74</xdr:row>
      <xdr:rowOff>0</xdr:rowOff>
    </xdr:from>
    <xdr:to>
      <xdr:col>8</xdr:col>
      <xdr:colOff>68580</xdr:colOff>
      <xdr:row>74</xdr:row>
      <xdr:rowOff>15240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2435B2A0-984A-446E-821C-1B47DE1C18E2}"/>
            </a:ext>
          </a:extLst>
        </xdr:cNvPr>
        <xdr:cNvCxnSpPr/>
      </xdr:nvCxnSpPr>
      <xdr:spPr>
        <a:xfrm>
          <a:off x="7056120" y="73152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731520</xdr:colOff>
      <xdr:row>4</xdr:row>
      <xdr:rowOff>7620</xdr:rowOff>
    </xdr:from>
    <xdr:to>
      <xdr:col>11</xdr:col>
      <xdr:colOff>731520</xdr:colOff>
      <xdr:row>10</xdr:row>
      <xdr:rowOff>144780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E6F9C6F9-46EB-4273-8A75-7DDCE74B9B37}"/>
            </a:ext>
          </a:extLst>
        </xdr:cNvPr>
        <xdr:cNvCxnSpPr/>
      </xdr:nvCxnSpPr>
      <xdr:spPr>
        <a:xfrm>
          <a:off x="7863840" y="739140"/>
          <a:ext cx="0" cy="1234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662940</xdr:colOff>
      <xdr:row>4</xdr:row>
      <xdr:rowOff>0</xdr:rowOff>
    </xdr:from>
    <xdr:to>
      <xdr:col>13</xdr:col>
      <xdr:colOff>68580</xdr:colOff>
      <xdr:row>4</xdr:row>
      <xdr:rowOff>15240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38D7C369-CDCB-466B-8B1D-2217BB3E315D}"/>
            </a:ext>
          </a:extLst>
        </xdr:cNvPr>
        <xdr:cNvCxnSpPr/>
      </xdr:nvCxnSpPr>
      <xdr:spPr>
        <a:xfrm>
          <a:off x="7056120" y="73152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731520</xdr:colOff>
      <xdr:row>74</xdr:row>
      <xdr:rowOff>7620</xdr:rowOff>
    </xdr:from>
    <xdr:to>
      <xdr:col>11</xdr:col>
      <xdr:colOff>731520</xdr:colOff>
      <xdr:row>80</xdr:row>
      <xdr:rowOff>144780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AA43CDBB-908F-4EAE-9A23-01AD6E157CC9}"/>
            </a:ext>
          </a:extLst>
        </xdr:cNvPr>
        <xdr:cNvCxnSpPr/>
      </xdr:nvCxnSpPr>
      <xdr:spPr>
        <a:xfrm>
          <a:off x="7863840" y="739140"/>
          <a:ext cx="0" cy="1234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662940</xdr:colOff>
      <xdr:row>74</xdr:row>
      <xdr:rowOff>0</xdr:rowOff>
    </xdr:from>
    <xdr:to>
      <xdr:col>13</xdr:col>
      <xdr:colOff>68580</xdr:colOff>
      <xdr:row>74</xdr:row>
      <xdr:rowOff>15240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A471071F-B585-4FE6-B657-C6796571D482}"/>
            </a:ext>
          </a:extLst>
        </xdr:cNvPr>
        <xdr:cNvCxnSpPr/>
      </xdr:nvCxnSpPr>
      <xdr:spPr>
        <a:xfrm>
          <a:off x="7056120" y="73152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716280</xdr:colOff>
      <xdr:row>10</xdr:row>
      <xdr:rowOff>0</xdr:rowOff>
    </xdr:from>
    <xdr:to>
      <xdr:col>8</xdr:col>
      <xdr:colOff>121920</xdr:colOff>
      <xdr:row>10</xdr:row>
      <xdr:rowOff>15240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6AEA1592-2EDE-44A0-9F75-FDF846793B91}"/>
            </a:ext>
          </a:extLst>
        </xdr:cNvPr>
        <xdr:cNvCxnSpPr/>
      </xdr:nvCxnSpPr>
      <xdr:spPr>
        <a:xfrm>
          <a:off x="7109460" y="182880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731520</xdr:colOff>
      <xdr:row>13</xdr:row>
      <xdr:rowOff>7620</xdr:rowOff>
    </xdr:from>
    <xdr:to>
      <xdr:col>6</xdr:col>
      <xdr:colOff>731520</xdr:colOff>
      <xdr:row>19</xdr:row>
      <xdr:rowOff>144780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5915518A-7724-4662-85DD-9359DE9B5782}"/>
            </a:ext>
          </a:extLst>
        </xdr:cNvPr>
        <xdr:cNvCxnSpPr/>
      </xdr:nvCxnSpPr>
      <xdr:spPr>
        <a:xfrm>
          <a:off x="11559540" y="739140"/>
          <a:ext cx="0" cy="1234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662940</xdr:colOff>
      <xdr:row>13</xdr:row>
      <xdr:rowOff>0</xdr:rowOff>
    </xdr:from>
    <xdr:to>
      <xdr:col>8</xdr:col>
      <xdr:colOff>68580</xdr:colOff>
      <xdr:row>13</xdr:row>
      <xdr:rowOff>15240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08484C10-5B55-45FE-A455-EB7A78F0CEA2}"/>
            </a:ext>
          </a:extLst>
        </xdr:cNvPr>
        <xdr:cNvCxnSpPr/>
      </xdr:nvCxnSpPr>
      <xdr:spPr>
        <a:xfrm>
          <a:off x="10751820" y="73152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731520</xdr:colOff>
      <xdr:row>13</xdr:row>
      <xdr:rowOff>7620</xdr:rowOff>
    </xdr:from>
    <xdr:to>
      <xdr:col>11</xdr:col>
      <xdr:colOff>731520</xdr:colOff>
      <xdr:row>19</xdr:row>
      <xdr:rowOff>144780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F5B29B3D-B85C-4A47-9C53-1E726F6610AC}"/>
            </a:ext>
          </a:extLst>
        </xdr:cNvPr>
        <xdr:cNvCxnSpPr/>
      </xdr:nvCxnSpPr>
      <xdr:spPr>
        <a:xfrm>
          <a:off x="11559540" y="739140"/>
          <a:ext cx="0" cy="1234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662940</xdr:colOff>
      <xdr:row>13</xdr:row>
      <xdr:rowOff>0</xdr:rowOff>
    </xdr:from>
    <xdr:to>
      <xdr:col>13</xdr:col>
      <xdr:colOff>68580</xdr:colOff>
      <xdr:row>13</xdr:row>
      <xdr:rowOff>15240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A7E7220A-2E61-4E10-9B6D-9362DE920ADC}"/>
            </a:ext>
          </a:extLst>
        </xdr:cNvPr>
        <xdr:cNvCxnSpPr/>
      </xdr:nvCxnSpPr>
      <xdr:spPr>
        <a:xfrm>
          <a:off x="10751820" y="73152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731520</xdr:colOff>
      <xdr:row>22</xdr:row>
      <xdr:rowOff>7620</xdr:rowOff>
    </xdr:from>
    <xdr:to>
      <xdr:col>6</xdr:col>
      <xdr:colOff>731520</xdr:colOff>
      <xdr:row>28</xdr:row>
      <xdr:rowOff>144780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F5A2C63D-80A2-460E-B5C5-3E8A3918FCDC}"/>
            </a:ext>
          </a:extLst>
        </xdr:cNvPr>
        <xdr:cNvCxnSpPr/>
      </xdr:nvCxnSpPr>
      <xdr:spPr>
        <a:xfrm>
          <a:off x="11559540" y="739140"/>
          <a:ext cx="0" cy="1234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662940</xdr:colOff>
      <xdr:row>22</xdr:row>
      <xdr:rowOff>0</xdr:rowOff>
    </xdr:from>
    <xdr:to>
      <xdr:col>8</xdr:col>
      <xdr:colOff>68580</xdr:colOff>
      <xdr:row>22</xdr:row>
      <xdr:rowOff>15240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5B2E208F-58C4-4504-B1D4-55BEEB422646}"/>
            </a:ext>
          </a:extLst>
        </xdr:cNvPr>
        <xdr:cNvCxnSpPr/>
      </xdr:nvCxnSpPr>
      <xdr:spPr>
        <a:xfrm>
          <a:off x="10751820" y="73152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731520</xdr:colOff>
      <xdr:row>22</xdr:row>
      <xdr:rowOff>7620</xdr:rowOff>
    </xdr:from>
    <xdr:to>
      <xdr:col>11</xdr:col>
      <xdr:colOff>731520</xdr:colOff>
      <xdr:row>28</xdr:row>
      <xdr:rowOff>144780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8612F6CE-D5D2-4496-BE91-BA5821EBD603}"/>
            </a:ext>
          </a:extLst>
        </xdr:cNvPr>
        <xdr:cNvCxnSpPr/>
      </xdr:nvCxnSpPr>
      <xdr:spPr>
        <a:xfrm>
          <a:off x="11559540" y="739140"/>
          <a:ext cx="0" cy="1234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662940</xdr:colOff>
      <xdr:row>22</xdr:row>
      <xdr:rowOff>0</xdr:rowOff>
    </xdr:from>
    <xdr:to>
      <xdr:col>13</xdr:col>
      <xdr:colOff>68580</xdr:colOff>
      <xdr:row>22</xdr:row>
      <xdr:rowOff>15240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7EB60823-3A0C-4BA2-AE0D-BD550428F846}"/>
            </a:ext>
          </a:extLst>
        </xdr:cNvPr>
        <xdr:cNvCxnSpPr/>
      </xdr:nvCxnSpPr>
      <xdr:spPr>
        <a:xfrm>
          <a:off x="10751820" y="73152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731520</xdr:colOff>
      <xdr:row>31</xdr:row>
      <xdr:rowOff>7620</xdr:rowOff>
    </xdr:from>
    <xdr:to>
      <xdr:col>6</xdr:col>
      <xdr:colOff>731520</xdr:colOff>
      <xdr:row>37</xdr:row>
      <xdr:rowOff>144780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BECF86EF-DB05-4672-A008-75B15FFAE391}"/>
            </a:ext>
          </a:extLst>
        </xdr:cNvPr>
        <xdr:cNvCxnSpPr/>
      </xdr:nvCxnSpPr>
      <xdr:spPr>
        <a:xfrm>
          <a:off x="7863840" y="13540740"/>
          <a:ext cx="0" cy="1234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662940</xdr:colOff>
      <xdr:row>31</xdr:row>
      <xdr:rowOff>0</xdr:rowOff>
    </xdr:from>
    <xdr:to>
      <xdr:col>8</xdr:col>
      <xdr:colOff>68580</xdr:colOff>
      <xdr:row>31</xdr:row>
      <xdr:rowOff>15240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B1A90E54-C537-40F2-B991-416FD55E2E50}"/>
            </a:ext>
          </a:extLst>
        </xdr:cNvPr>
        <xdr:cNvCxnSpPr/>
      </xdr:nvCxnSpPr>
      <xdr:spPr>
        <a:xfrm>
          <a:off x="7056120" y="1353312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731520</xdr:colOff>
      <xdr:row>31</xdr:row>
      <xdr:rowOff>7620</xdr:rowOff>
    </xdr:from>
    <xdr:to>
      <xdr:col>11</xdr:col>
      <xdr:colOff>731520</xdr:colOff>
      <xdr:row>37</xdr:row>
      <xdr:rowOff>144780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4169C0C6-74F3-4166-9B62-4B5BC53E3A6D}"/>
            </a:ext>
          </a:extLst>
        </xdr:cNvPr>
        <xdr:cNvCxnSpPr/>
      </xdr:nvCxnSpPr>
      <xdr:spPr>
        <a:xfrm>
          <a:off x="7863840" y="13540740"/>
          <a:ext cx="0" cy="1234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662940</xdr:colOff>
      <xdr:row>31</xdr:row>
      <xdr:rowOff>0</xdr:rowOff>
    </xdr:from>
    <xdr:to>
      <xdr:col>13</xdr:col>
      <xdr:colOff>68580</xdr:colOff>
      <xdr:row>31</xdr:row>
      <xdr:rowOff>15240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1D692BAD-AC0D-4A4A-AEF1-CDF2BC011B49}"/>
            </a:ext>
          </a:extLst>
        </xdr:cNvPr>
        <xdr:cNvCxnSpPr/>
      </xdr:nvCxnSpPr>
      <xdr:spPr>
        <a:xfrm>
          <a:off x="7056120" y="1353312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731520</xdr:colOff>
      <xdr:row>40</xdr:row>
      <xdr:rowOff>7620</xdr:rowOff>
    </xdr:from>
    <xdr:to>
      <xdr:col>6</xdr:col>
      <xdr:colOff>731520</xdr:colOff>
      <xdr:row>46</xdr:row>
      <xdr:rowOff>144780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BC204ED5-4A6B-441C-B13F-736A59E18DD7}"/>
            </a:ext>
          </a:extLst>
        </xdr:cNvPr>
        <xdr:cNvCxnSpPr/>
      </xdr:nvCxnSpPr>
      <xdr:spPr>
        <a:xfrm>
          <a:off x="7863840" y="13540740"/>
          <a:ext cx="0" cy="1234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662940</xdr:colOff>
      <xdr:row>40</xdr:row>
      <xdr:rowOff>0</xdr:rowOff>
    </xdr:from>
    <xdr:to>
      <xdr:col>8</xdr:col>
      <xdr:colOff>68580</xdr:colOff>
      <xdr:row>40</xdr:row>
      <xdr:rowOff>15240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58BA7596-8A28-45B0-91C7-B57151DD1310}"/>
            </a:ext>
          </a:extLst>
        </xdr:cNvPr>
        <xdr:cNvCxnSpPr/>
      </xdr:nvCxnSpPr>
      <xdr:spPr>
        <a:xfrm>
          <a:off x="7056120" y="1353312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731520</xdr:colOff>
      <xdr:row>49</xdr:row>
      <xdr:rowOff>7620</xdr:rowOff>
    </xdr:from>
    <xdr:to>
      <xdr:col>6</xdr:col>
      <xdr:colOff>731520</xdr:colOff>
      <xdr:row>55</xdr:row>
      <xdr:rowOff>144780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3210D0A5-C28E-45BD-849F-42E9AF42C5B2}"/>
            </a:ext>
          </a:extLst>
        </xdr:cNvPr>
        <xdr:cNvCxnSpPr/>
      </xdr:nvCxnSpPr>
      <xdr:spPr>
        <a:xfrm>
          <a:off x="7863840" y="13540740"/>
          <a:ext cx="0" cy="1234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662940</xdr:colOff>
      <xdr:row>49</xdr:row>
      <xdr:rowOff>0</xdr:rowOff>
    </xdr:from>
    <xdr:to>
      <xdr:col>8</xdr:col>
      <xdr:colOff>68580</xdr:colOff>
      <xdr:row>49</xdr:row>
      <xdr:rowOff>15240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67F75BF3-52CF-436E-BDF3-EB2E6953A8A7}"/>
            </a:ext>
          </a:extLst>
        </xdr:cNvPr>
        <xdr:cNvCxnSpPr/>
      </xdr:nvCxnSpPr>
      <xdr:spPr>
        <a:xfrm>
          <a:off x="7056120" y="1353312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731520</xdr:colOff>
      <xdr:row>58</xdr:row>
      <xdr:rowOff>7620</xdr:rowOff>
    </xdr:from>
    <xdr:to>
      <xdr:col>6</xdr:col>
      <xdr:colOff>731520</xdr:colOff>
      <xdr:row>64</xdr:row>
      <xdr:rowOff>144780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5F30BAFD-6238-4179-94EE-99751A10C993}"/>
            </a:ext>
          </a:extLst>
        </xdr:cNvPr>
        <xdr:cNvCxnSpPr/>
      </xdr:nvCxnSpPr>
      <xdr:spPr>
        <a:xfrm>
          <a:off x="7863840" y="13540740"/>
          <a:ext cx="0" cy="1234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662940</xdr:colOff>
      <xdr:row>58</xdr:row>
      <xdr:rowOff>0</xdr:rowOff>
    </xdr:from>
    <xdr:to>
      <xdr:col>8</xdr:col>
      <xdr:colOff>68580</xdr:colOff>
      <xdr:row>58</xdr:row>
      <xdr:rowOff>15240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BE0C508E-5305-4296-AF9A-95CD55C9604F}"/>
            </a:ext>
          </a:extLst>
        </xdr:cNvPr>
        <xdr:cNvCxnSpPr/>
      </xdr:nvCxnSpPr>
      <xdr:spPr>
        <a:xfrm>
          <a:off x="7056120" y="1353312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731520</xdr:colOff>
      <xdr:row>67</xdr:row>
      <xdr:rowOff>7620</xdr:rowOff>
    </xdr:from>
    <xdr:to>
      <xdr:col>7</xdr:col>
      <xdr:colOff>7620</xdr:colOff>
      <xdr:row>71</xdr:row>
      <xdr:rowOff>167640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8407DF4B-D77B-4BFA-B7C8-134D0E0FE07F}"/>
            </a:ext>
          </a:extLst>
        </xdr:cNvPr>
        <xdr:cNvCxnSpPr/>
      </xdr:nvCxnSpPr>
      <xdr:spPr>
        <a:xfrm>
          <a:off x="7863840" y="12260580"/>
          <a:ext cx="15240" cy="891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662940</xdr:colOff>
      <xdr:row>67</xdr:row>
      <xdr:rowOff>0</xdr:rowOff>
    </xdr:from>
    <xdr:to>
      <xdr:col>8</xdr:col>
      <xdr:colOff>68580</xdr:colOff>
      <xdr:row>67</xdr:row>
      <xdr:rowOff>15240</xdr:rowOff>
    </xdr:to>
    <xdr:cxnSp macro="">
      <xdr:nvCxnSpPr>
        <xdr:cNvPr id="35" name="Conector recto 34">
          <a:extLst>
            <a:ext uri="{FF2B5EF4-FFF2-40B4-BE49-F238E27FC236}">
              <a16:creationId xmlns:a16="http://schemas.microsoft.com/office/drawing/2014/main" id="{C8ACBA13-F38D-433F-89CC-6371B92045D5}"/>
            </a:ext>
          </a:extLst>
        </xdr:cNvPr>
        <xdr:cNvCxnSpPr/>
      </xdr:nvCxnSpPr>
      <xdr:spPr>
        <a:xfrm>
          <a:off x="7056120" y="1353312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731520</xdr:colOff>
      <xdr:row>67</xdr:row>
      <xdr:rowOff>7620</xdr:rowOff>
    </xdr:from>
    <xdr:to>
      <xdr:col>12</xdr:col>
      <xdr:colOff>7620</xdr:colOff>
      <xdr:row>71</xdr:row>
      <xdr:rowOff>167640</xdr:rowOff>
    </xdr:to>
    <xdr:cxnSp macro="">
      <xdr:nvCxnSpPr>
        <xdr:cNvPr id="36" name="Conector recto 35">
          <a:extLst>
            <a:ext uri="{FF2B5EF4-FFF2-40B4-BE49-F238E27FC236}">
              <a16:creationId xmlns:a16="http://schemas.microsoft.com/office/drawing/2014/main" id="{5F3A934B-8DE4-4D14-948D-4F4E7D696C00}"/>
            </a:ext>
          </a:extLst>
        </xdr:cNvPr>
        <xdr:cNvCxnSpPr/>
      </xdr:nvCxnSpPr>
      <xdr:spPr>
        <a:xfrm>
          <a:off x="7863840" y="12260580"/>
          <a:ext cx="15240" cy="891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662940</xdr:colOff>
      <xdr:row>67</xdr:row>
      <xdr:rowOff>0</xdr:rowOff>
    </xdr:from>
    <xdr:to>
      <xdr:col>13</xdr:col>
      <xdr:colOff>68580</xdr:colOff>
      <xdr:row>67</xdr:row>
      <xdr:rowOff>15240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id="{33CDE482-53EB-4E3F-A90A-87B06B0A5948}"/>
            </a:ext>
          </a:extLst>
        </xdr:cNvPr>
        <xdr:cNvCxnSpPr/>
      </xdr:nvCxnSpPr>
      <xdr:spPr>
        <a:xfrm>
          <a:off x="7056120" y="1225296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731520</xdr:colOff>
      <xdr:row>58</xdr:row>
      <xdr:rowOff>7620</xdr:rowOff>
    </xdr:from>
    <xdr:to>
      <xdr:col>12</xdr:col>
      <xdr:colOff>7620</xdr:colOff>
      <xdr:row>62</xdr:row>
      <xdr:rowOff>167640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53162E8C-8CB5-454E-BD84-A73A2E7A067B}"/>
            </a:ext>
          </a:extLst>
        </xdr:cNvPr>
        <xdr:cNvCxnSpPr/>
      </xdr:nvCxnSpPr>
      <xdr:spPr>
        <a:xfrm>
          <a:off x="7863840" y="12260580"/>
          <a:ext cx="15240" cy="891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662940</xdr:colOff>
      <xdr:row>58</xdr:row>
      <xdr:rowOff>0</xdr:rowOff>
    </xdr:from>
    <xdr:to>
      <xdr:col>13</xdr:col>
      <xdr:colOff>68580</xdr:colOff>
      <xdr:row>58</xdr:row>
      <xdr:rowOff>15240</xdr:rowOff>
    </xdr:to>
    <xdr:cxnSp macro="">
      <xdr:nvCxnSpPr>
        <xdr:cNvPr id="39" name="Conector recto 38">
          <a:extLst>
            <a:ext uri="{FF2B5EF4-FFF2-40B4-BE49-F238E27FC236}">
              <a16:creationId xmlns:a16="http://schemas.microsoft.com/office/drawing/2014/main" id="{DF3EFE4C-982D-413A-B9AF-B3079404B708}"/>
            </a:ext>
          </a:extLst>
        </xdr:cNvPr>
        <xdr:cNvCxnSpPr/>
      </xdr:nvCxnSpPr>
      <xdr:spPr>
        <a:xfrm>
          <a:off x="7056120" y="1225296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731520</xdr:colOff>
      <xdr:row>49</xdr:row>
      <xdr:rowOff>7620</xdr:rowOff>
    </xdr:from>
    <xdr:to>
      <xdr:col>12</xdr:col>
      <xdr:colOff>7620</xdr:colOff>
      <xdr:row>53</xdr:row>
      <xdr:rowOff>167640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id="{771101B5-E3F1-4529-BAEE-7878DA3722EA}"/>
            </a:ext>
          </a:extLst>
        </xdr:cNvPr>
        <xdr:cNvCxnSpPr/>
      </xdr:nvCxnSpPr>
      <xdr:spPr>
        <a:xfrm>
          <a:off x="7863840" y="12260580"/>
          <a:ext cx="15240" cy="891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662940</xdr:colOff>
      <xdr:row>49</xdr:row>
      <xdr:rowOff>0</xdr:rowOff>
    </xdr:from>
    <xdr:to>
      <xdr:col>13</xdr:col>
      <xdr:colOff>68580</xdr:colOff>
      <xdr:row>49</xdr:row>
      <xdr:rowOff>15240</xdr:rowOff>
    </xdr:to>
    <xdr:cxnSp macro="">
      <xdr:nvCxnSpPr>
        <xdr:cNvPr id="41" name="Conector recto 40">
          <a:extLst>
            <a:ext uri="{FF2B5EF4-FFF2-40B4-BE49-F238E27FC236}">
              <a16:creationId xmlns:a16="http://schemas.microsoft.com/office/drawing/2014/main" id="{F18F2ED3-F882-482A-B909-C06D63977584}"/>
            </a:ext>
          </a:extLst>
        </xdr:cNvPr>
        <xdr:cNvCxnSpPr/>
      </xdr:nvCxnSpPr>
      <xdr:spPr>
        <a:xfrm>
          <a:off x="7056120" y="1225296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731520</xdr:colOff>
      <xdr:row>40</xdr:row>
      <xdr:rowOff>7620</xdr:rowOff>
    </xdr:from>
    <xdr:to>
      <xdr:col>12</xdr:col>
      <xdr:colOff>7620</xdr:colOff>
      <xdr:row>44</xdr:row>
      <xdr:rowOff>167640</xdr:rowOff>
    </xdr:to>
    <xdr:cxnSp macro="">
      <xdr:nvCxnSpPr>
        <xdr:cNvPr id="42" name="Conector recto 41">
          <a:extLst>
            <a:ext uri="{FF2B5EF4-FFF2-40B4-BE49-F238E27FC236}">
              <a16:creationId xmlns:a16="http://schemas.microsoft.com/office/drawing/2014/main" id="{0C1B62EE-327D-417D-9591-4F803C6955C2}"/>
            </a:ext>
          </a:extLst>
        </xdr:cNvPr>
        <xdr:cNvCxnSpPr/>
      </xdr:nvCxnSpPr>
      <xdr:spPr>
        <a:xfrm>
          <a:off x="7863840" y="12260580"/>
          <a:ext cx="15240" cy="891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662940</xdr:colOff>
      <xdr:row>40</xdr:row>
      <xdr:rowOff>0</xdr:rowOff>
    </xdr:from>
    <xdr:to>
      <xdr:col>13</xdr:col>
      <xdr:colOff>68580</xdr:colOff>
      <xdr:row>40</xdr:row>
      <xdr:rowOff>15240</xdr:rowOff>
    </xdr:to>
    <xdr:cxnSp macro="">
      <xdr:nvCxnSpPr>
        <xdr:cNvPr id="43" name="Conector recto 42">
          <a:extLst>
            <a:ext uri="{FF2B5EF4-FFF2-40B4-BE49-F238E27FC236}">
              <a16:creationId xmlns:a16="http://schemas.microsoft.com/office/drawing/2014/main" id="{205D4BBB-8F18-4197-ADF4-0FB24666559E}"/>
            </a:ext>
          </a:extLst>
        </xdr:cNvPr>
        <xdr:cNvCxnSpPr/>
      </xdr:nvCxnSpPr>
      <xdr:spPr>
        <a:xfrm>
          <a:off x="7056120" y="1225296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YECTO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Blce. Apertura (2)"/>
      <sheetName val="Libro Diario 1"/>
      <sheetName val="Lista de Libros"/>
      <sheetName val="HOJA DE TRABAJO"/>
      <sheetName val="ER"/>
      <sheetName val="BG"/>
    </sheetNames>
    <sheetDataSet>
      <sheetData sheetId="0"/>
      <sheetData sheetId="1"/>
      <sheetData sheetId="2">
        <row r="5">
          <cell r="B5" t="str">
            <v>BANCO GANADERO M/N</v>
          </cell>
          <cell r="C5">
            <v>255000</v>
          </cell>
        </row>
        <row r="7">
          <cell r="B7" t="str">
            <v>INVENTARIO DE MERCADERIAS</v>
          </cell>
          <cell r="C7">
            <v>84000</v>
          </cell>
        </row>
        <row r="8">
          <cell r="B8" t="str">
            <v>ALQUILERES PAGADOS POR ANTICIPADO</v>
          </cell>
          <cell r="C8">
            <v>55000</v>
          </cell>
        </row>
        <row r="9">
          <cell r="B9" t="str">
            <v>MUEBLES Y ENSERES</v>
          </cell>
          <cell r="C9">
            <v>12000</v>
          </cell>
        </row>
        <row r="10">
          <cell r="B10" t="str">
            <v>EQUIPOS DE COMPUTACION</v>
          </cell>
          <cell r="C10">
            <v>45000</v>
          </cell>
        </row>
        <row r="11">
          <cell r="B11" t="str">
            <v>DOCUMENTOS POR PAGAR</v>
          </cell>
          <cell r="D11">
            <v>35000</v>
          </cell>
        </row>
        <row r="12">
          <cell r="B12" t="str">
            <v>DEUDAS POR PAGAR</v>
          </cell>
          <cell r="D12">
            <v>350000</v>
          </cell>
        </row>
        <row r="13">
          <cell r="B13" t="str">
            <v>CAPITAL SOCIAL</v>
          </cell>
          <cell r="D13">
            <v>166000</v>
          </cell>
        </row>
        <row r="16">
          <cell r="B16" t="str">
            <v>GASTOS LEGALES, NOTARIALES Y JUDICIALES</v>
          </cell>
          <cell r="C16">
            <v>3045</v>
          </cell>
        </row>
        <row r="17">
          <cell r="C17">
            <v>455</v>
          </cell>
        </row>
        <row r="21">
          <cell r="C21">
            <v>56550</v>
          </cell>
        </row>
        <row r="22">
          <cell r="B22" t="str">
            <v>CREDITO FISCAL</v>
          </cell>
          <cell r="C22">
            <v>8450</v>
          </cell>
        </row>
        <row r="23">
          <cell r="D23">
            <v>32500</v>
          </cell>
        </row>
        <row r="24">
          <cell r="B24" t="str">
            <v>CUENTAS POR PAGAR</v>
          </cell>
          <cell r="D24">
            <v>32500</v>
          </cell>
        </row>
        <row r="27">
          <cell r="C27">
            <v>174000</v>
          </cell>
        </row>
        <row r="28">
          <cell r="C28">
            <v>26000</v>
          </cell>
        </row>
        <row r="29">
          <cell r="D29">
            <v>90000</v>
          </cell>
        </row>
        <row r="30">
          <cell r="D30">
            <v>110000</v>
          </cell>
        </row>
        <row r="33">
          <cell r="C33">
            <v>33000</v>
          </cell>
        </row>
        <row r="34">
          <cell r="B34" t="str">
            <v>DOCUMENTOS POR COBRAR</v>
          </cell>
          <cell r="C34">
            <v>22000</v>
          </cell>
        </row>
        <row r="35">
          <cell r="B35" t="str">
            <v>IMPUESTO A LAS TRANSACCIONES</v>
          </cell>
          <cell r="C35">
            <v>1650</v>
          </cell>
        </row>
        <row r="36">
          <cell r="B36" t="str">
            <v>VENTAS</v>
          </cell>
          <cell r="D36">
            <v>47850</v>
          </cell>
        </row>
        <row r="37">
          <cell r="B37" t="str">
            <v>DEBITO FISCAL</v>
          </cell>
          <cell r="D37">
            <v>7150</v>
          </cell>
        </row>
        <row r="38">
          <cell r="B38" t="str">
            <v>IT POR PAGAR</v>
          </cell>
          <cell r="D38">
            <v>1650</v>
          </cell>
        </row>
        <row r="41">
          <cell r="B41" t="str">
            <v>MATERIAL DE ESCRITORIO</v>
          </cell>
          <cell r="C41">
            <v>826.5</v>
          </cell>
        </row>
        <row r="42">
          <cell r="C42">
            <v>123.5</v>
          </cell>
        </row>
        <row r="43">
          <cell r="D43">
            <v>950</v>
          </cell>
        </row>
        <row r="46">
          <cell r="C46">
            <v>82650</v>
          </cell>
        </row>
        <row r="47">
          <cell r="C47">
            <v>12350</v>
          </cell>
        </row>
        <row r="48">
          <cell r="D48">
            <v>76000</v>
          </cell>
        </row>
        <row r="49">
          <cell r="D49">
            <v>19000</v>
          </cell>
        </row>
        <row r="52">
          <cell r="C52">
            <v>25830</v>
          </cell>
        </row>
        <row r="53">
          <cell r="C53">
            <v>35670</v>
          </cell>
        </row>
        <row r="54">
          <cell r="C54">
            <v>1845</v>
          </cell>
        </row>
        <row r="55">
          <cell r="D55">
            <v>53505</v>
          </cell>
        </row>
        <row r="56">
          <cell r="D56">
            <v>7995</v>
          </cell>
        </row>
        <row r="57">
          <cell r="D57">
            <v>1845</v>
          </cell>
        </row>
        <row r="60">
          <cell r="C60">
            <v>23400</v>
          </cell>
        </row>
        <row r="61">
          <cell r="C61">
            <v>9100</v>
          </cell>
        </row>
        <row r="62">
          <cell r="C62">
            <v>975</v>
          </cell>
        </row>
        <row r="63">
          <cell r="D63">
            <v>28275</v>
          </cell>
        </row>
        <row r="64">
          <cell r="D64">
            <v>4225</v>
          </cell>
        </row>
        <row r="65">
          <cell r="D65">
            <v>975</v>
          </cell>
        </row>
        <row r="68">
          <cell r="C68">
            <v>174000</v>
          </cell>
        </row>
        <row r="69">
          <cell r="C69">
            <v>26000</v>
          </cell>
        </row>
        <row r="70">
          <cell r="D70">
            <v>200000</v>
          </cell>
        </row>
        <row r="73">
          <cell r="C73">
            <v>2610</v>
          </cell>
        </row>
        <row r="74">
          <cell r="C74">
            <v>390</v>
          </cell>
        </row>
        <row r="75">
          <cell r="D75">
            <v>3000</v>
          </cell>
        </row>
        <row r="78">
          <cell r="C78">
            <v>217500</v>
          </cell>
        </row>
        <row r="79">
          <cell r="C79">
            <v>32500</v>
          </cell>
        </row>
        <row r="80">
          <cell r="D80">
            <v>250000</v>
          </cell>
        </row>
        <row r="83">
          <cell r="C83">
            <v>9100</v>
          </cell>
        </row>
        <row r="84">
          <cell r="D84">
            <v>9100</v>
          </cell>
        </row>
        <row r="87">
          <cell r="B87" t="str">
            <v>SEGURIDAD Y VIGILANCIA</v>
          </cell>
          <cell r="C87">
            <v>4350</v>
          </cell>
        </row>
        <row r="88">
          <cell r="C88">
            <v>650</v>
          </cell>
        </row>
        <row r="89">
          <cell r="D89">
            <v>5000</v>
          </cell>
        </row>
        <row r="92">
          <cell r="B92" t="str">
            <v>COMISIONES</v>
          </cell>
          <cell r="C92">
            <v>426550</v>
          </cell>
        </row>
        <row r="93">
          <cell r="D93">
            <v>372335.495</v>
          </cell>
        </row>
        <row r="94">
          <cell r="B94" t="str">
            <v>APORTE LABORAL GESTORA POR PAGAR</v>
          </cell>
          <cell r="D94">
            <v>54214.504999999997</v>
          </cell>
        </row>
        <row r="97">
          <cell r="B97" t="str">
            <v>APORTES PATRONALES GESTORA</v>
          </cell>
          <cell r="C97">
            <v>28621.505000000001</v>
          </cell>
        </row>
        <row r="98">
          <cell r="B98" t="str">
            <v>CAJA DE SALUD</v>
          </cell>
          <cell r="C98">
            <v>42655</v>
          </cell>
        </row>
        <row r="99">
          <cell r="B99" t="str">
            <v>AGUINALDOS</v>
          </cell>
          <cell r="C99">
            <v>35454.83</v>
          </cell>
        </row>
        <row r="100">
          <cell r="B100" t="str">
            <v>INDEMNIZACION</v>
          </cell>
          <cell r="C100">
            <v>35454.83</v>
          </cell>
        </row>
        <row r="101">
          <cell r="C101">
            <v>35454.83</v>
          </cell>
        </row>
        <row r="102">
          <cell r="B102" t="str">
            <v>APORTES PATRONALES GESTORA POR PAGAR</v>
          </cell>
          <cell r="D102">
            <v>28621.505000000001</v>
          </cell>
        </row>
        <row r="103">
          <cell r="B103" t="str">
            <v>CAJA DE SALUD POR PAGAR</v>
          </cell>
          <cell r="D103">
            <v>42655</v>
          </cell>
        </row>
        <row r="104">
          <cell r="B104" t="str">
            <v>AGUINALDO POR PAGAR</v>
          </cell>
          <cell r="D104">
            <v>35454.83</v>
          </cell>
        </row>
        <row r="105">
          <cell r="D105">
            <v>35454.83</v>
          </cell>
        </row>
        <row r="106">
          <cell r="B106" t="str">
            <v>PRIMAS POR PAGAR</v>
          </cell>
          <cell r="D106">
            <v>35454.83</v>
          </cell>
        </row>
        <row r="110">
          <cell r="C110">
            <v>12000</v>
          </cell>
        </row>
        <row r="111">
          <cell r="D111">
            <v>348000</v>
          </cell>
        </row>
        <row r="112">
          <cell r="D112">
            <v>52000</v>
          </cell>
        </row>
        <row r="113">
          <cell r="D113">
            <v>12000</v>
          </cell>
        </row>
        <row r="116">
          <cell r="C116">
            <v>73450</v>
          </cell>
        </row>
        <row r="117">
          <cell r="C117">
            <v>39550</v>
          </cell>
        </row>
        <row r="118">
          <cell r="C118">
            <v>3390</v>
          </cell>
        </row>
        <row r="119">
          <cell r="D119">
            <v>98310</v>
          </cell>
        </row>
        <row r="120">
          <cell r="D120">
            <v>14690</v>
          </cell>
        </row>
        <row r="121">
          <cell r="D121">
            <v>3390</v>
          </cell>
        </row>
        <row r="124">
          <cell r="C124">
            <v>26268</v>
          </cell>
        </row>
        <row r="125">
          <cell r="C125">
            <v>105072</v>
          </cell>
        </row>
        <row r="126">
          <cell r="C126">
            <v>3940.2</v>
          </cell>
        </row>
        <row r="127">
          <cell r="D127">
            <v>114265.8</v>
          </cell>
        </row>
        <row r="128">
          <cell r="D128">
            <v>17074.2</v>
          </cell>
        </row>
        <row r="129">
          <cell r="D129">
            <v>3940.2</v>
          </cell>
        </row>
        <row r="132">
          <cell r="C132">
            <v>39550</v>
          </cell>
        </row>
        <row r="133">
          <cell r="D133">
            <v>39550</v>
          </cell>
        </row>
        <row r="136">
          <cell r="B136" t="str">
            <v>PUBLICIDAD EN RADIO Y T.V.</v>
          </cell>
          <cell r="C136">
            <v>8700</v>
          </cell>
        </row>
        <row r="137">
          <cell r="C137">
            <v>1300</v>
          </cell>
        </row>
        <row r="138">
          <cell r="D138">
            <v>10000</v>
          </cell>
        </row>
        <row r="141">
          <cell r="C141">
            <v>51840</v>
          </cell>
        </row>
        <row r="142">
          <cell r="C142">
            <v>63360.000000000007</v>
          </cell>
        </row>
        <row r="143">
          <cell r="C143">
            <v>3456</v>
          </cell>
        </row>
        <row r="144">
          <cell r="D144">
            <v>100224</v>
          </cell>
        </row>
        <row r="145">
          <cell r="D145">
            <v>14976</v>
          </cell>
        </row>
        <row r="146">
          <cell r="D146">
            <v>3456</v>
          </cell>
        </row>
        <row r="149">
          <cell r="C149">
            <v>121000</v>
          </cell>
        </row>
        <row r="150">
          <cell r="C150">
            <v>3630</v>
          </cell>
        </row>
        <row r="152">
          <cell r="D152">
            <v>105270</v>
          </cell>
        </row>
        <row r="153">
          <cell r="D153">
            <v>15730</v>
          </cell>
        </row>
        <row r="154">
          <cell r="D154">
            <v>3630</v>
          </cell>
        </row>
        <row r="157">
          <cell r="C157">
            <v>140000</v>
          </cell>
        </row>
        <row r="158">
          <cell r="D158">
            <v>140000</v>
          </cell>
        </row>
        <row r="161">
          <cell r="B161" t="str">
            <v>ENERGIA ELECTRICA</v>
          </cell>
          <cell r="C161">
            <v>2832.72</v>
          </cell>
        </row>
        <row r="162">
          <cell r="C162">
            <v>423.28000000000003</v>
          </cell>
        </row>
        <row r="163">
          <cell r="D163">
            <v>3256</v>
          </cell>
        </row>
        <row r="166">
          <cell r="B166" t="str">
            <v>SUELDOS Y SALARIOS</v>
          </cell>
          <cell r="C166">
            <v>298725</v>
          </cell>
        </row>
        <row r="167">
          <cell r="D167">
            <v>260757.05249999999</v>
          </cell>
        </row>
        <row r="168">
          <cell r="D168">
            <v>37967.947500000002</v>
          </cell>
        </row>
        <row r="171">
          <cell r="C171">
            <v>20044.447500000002</v>
          </cell>
        </row>
        <row r="172">
          <cell r="C172">
            <v>29872.5</v>
          </cell>
        </row>
        <row r="173">
          <cell r="C173">
            <v>24893.75</v>
          </cell>
        </row>
        <row r="174">
          <cell r="C174">
            <v>24893.75</v>
          </cell>
        </row>
        <row r="175">
          <cell r="B175" t="str">
            <v>PRIMAS</v>
          </cell>
          <cell r="C175">
            <v>24893.75</v>
          </cell>
        </row>
        <row r="176">
          <cell r="D176">
            <v>20044.447500000002</v>
          </cell>
        </row>
        <row r="177">
          <cell r="D177">
            <v>29872.5</v>
          </cell>
        </row>
        <row r="178">
          <cell r="D178">
            <v>24893.75</v>
          </cell>
        </row>
        <row r="179">
          <cell r="B179" t="str">
            <v>PREVISION PARA INDEMIZACION</v>
          </cell>
          <cell r="D179">
            <v>24893.75</v>
          </cell>
        </row>
        <row r="180">
          <cell r="D180">
            <v>24893.75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workbookViewId="0">
      <selection activeCell="C22" sqref="C22"/>
    </sheetView>
  </sheetViews>
  <sheetFormatPr baseColWidth="10" defaultColWidth="10.77734375" defaultRowHeight="14.4" x14ac:dyDescent="0.3"/>
  <cols>
    <col min="3" max="3" width="17.6640625" customWidth="1"/>
    <col min="4" max="6" width="12.5546875" bestFit="1" customWidth="1"/>
  </cols>
  <sheetData>
    <row r="1" spans="1:6" x14ac:dyDescent="0.3">
      <c r="B1" s="1" t="s">
        <v>34</v>
      </c>
    </row>
    <row r="3" spans="1:6" ht="18" x14ac:dyDescent="0.35">
      <c r="B3" s="97" t="s">
        <v>0</v>
      </c>
      <c r="C3" s="97"/>
      <c r="D3" s="97"/>
      <c r="E3" s="97"/>
      <c r="F3" s="97"/>
    </row>
    <row r="4" spans="1:6" ht="18" x14ac:dyDescent="0.35">
      <c r="B4" s="97" t="s">
        <v>1</v>
      </c>
      <c r="C4" s="97"/>
      <c r="D4" s="97"/>
      <c r="E4" s="97"/>
      <c r="F4" s="97"/>
    </row>
    <row r="5" spans="1:6" ht="18" x14ac:dyDescent="0.35">
      <c r="B5" s="97" t="s">
        <v>2</v>
      </c>
      <c r="C5" s="97"/>
      <c r="D5" s="97"/>
      <c r="E5" s="97"/>
      <c r="F5" s="97"/>
    </row>
    <row r="7" spans="1:6" x14ac:dyDescent="0.3">
      <c r="B7" s="2" t="s">
        <v>3</v>
      </c>
    </row>
    <row r="8" spans="1:6" x14ac:dyDescent="0.3">
      <c r="B8" s="2" t="s">
        <v>4</v>
      </c>
      <c r="F8" s="3"/>
    </row>
    <row r="9" spans="1:6" x14ac:dyDescent="0.3">
      <c r="B9" s="2" t="s">
        <v>5</v>
      </c>
      <c r="D9" s="4"/>
      <c r="E9" s="4" t="s">
        <v>16</v>
      </c>
    </row>
    <row r="10" spans="1:6" x14ac:dyDescent="0.3">
      <c r="B10" t="s">
        <v>6</v>
      </c>
      <c r="D10" s="4">
        <v>240000</v>
      </c>
      <c r="E10" s="4" t="s">
        <v>16</v>
      </c>
    </row>
    <row r="11" spans="1:6" x14ac:dyDescent="0.3">
      <c r="B11" t="s">
        <v>31</v>
      </c>
      <c r="D11" s="4">
        <v>170000</v>
      </c>
      <c r="E11" s="4" t="s">
        <v>16</v>
      </c>
    </row>
    <row r="12" spans="1:6" x14ac:dyDescent="0.3">
      <c r="B12" s="5" t="s">
        <v>32</v>
      </c>
      <c r="D12" s="4">
        <v>55000</v>
      </c>
      <c r="E12" s="4"/>
    </row>
    <row r="13" spans="1:6" x14ac:dyDescent="0.3">
      <c r="A13" t="s">
        <v>16</v>
      </c>
      <c r="B13" s="5" t="s">
        <v>33</v>
      </c>
      <c r="D13" s="4">
        <v>32000</v>
      </c>
      <c r="E13" s="4"/>
    </row>
    <row r="14" spans="1:6" x14ac:dyDescent="0.3">
      <c r="B14" s="5"/>
      <c r="D14" s="4"/>
      <c r="E14" s="4"/>
    </row>
    <row r="15" spans="1:6" x14ac:dyDescent="0.3">
      <c r="B15" s="6" t="s">
        <v>7</v>
      </c>
      <c r="C15" s="2"/>
      <c r="D15" s="7"/>
      <c r="E15" s="4"/>
      <c r="F15" s="8">
        <f>SUM(D10:D13)</f>
        <v>497000</v>
      </c>
    </row>
    <row r="16" spans="1:6" x14ac:dyDescent="0.3">
      <c r="B16" s="6"/>
      <c r="C16" s="2"/>
      <c r="D16" s="7"/>
      <c r="E16" s="4"/>
      <c r="F16" s="8"/>
    </row>
    <row r="17" spans="2:9" x14ac:dyDescent="0.3">
      <c r="B17" s="6"/>
      <c r="C17" s="2"/>
      <c r="D17" s="7"/>
      <c r="E17" s="4"/>
      <c r="F17" s="8"/>
    </row>
    <row r="18" spans="2:9" x14ac:dyDescent="0.3">
      <c r="B18" s="6" t="s">
        <v>8</v>
      </c>
      <c r="C18" s="2"/>
      <c r="D18" s="7"/>
      <c r="E18" s="4"/>
      <c r="F18" s="8"/>
    </row>
    <row r="19" spans="2:9" x14ac:dyDescent="0.3">
      <c r="B19" s="6"/>
      <c r="C19" s="2"/>
      <c r="D19" s="7"/>
      <c r="E19" s="4"/>
      <c r="F19" s="8"/>
    </row>
    <row r="20" spans="2:9" x14ac:dyDescent="0.3">
      <c r="B20" s="5"/>
      <c r="C20" s="2"/>
      <c r="D20" s="4">
        <v>0</v>
      </c>
      <c r="E20" s="4"/>
      <c r="F20" s="8"/>
    </row>
    <row r="21" spans="2:9" x14ac:dyDescent="0.3">
      <c r="B21" s="6" t="s">
        <v>9</v>
      </c>
      <c r="C21" s="2"/>
      <c r="D21" s="7"/>
      <c r="E21" s="4"/>
      <c r="F21" s="8">
        <f>D20</f>
        <v>0</v>
      </c>
    </row>
    <row r="23" spans="2:9" ht="15" thickBot="1" x14ac:dyDescent="0.35">
      <c r="B23" s="98" t="s">
        <v>10</v>
      </c>
      <c r="C23" s="98"/>
      <c r="D23" s="98"/>
      <c r="E23" s="98"/>
      <c r="F23" s="9">
        <f>F15+F21</f>
        <v>497000</v>
      </c>
    </row>
    <row r="24" spans="2:9" ht="15" thickTop="1" x14ac:dyDescent="0.3"/>
    <row r="25" spans="2:9" x14ac:dyDescent="0.3">
      <c r="B25" s="2" t="s">
        <v>11</v>
      </c>
      <c r="D25" s="4"/>
      <c r="E25" s="4"/>
      <c r="F25" s="4"/>
    </row>
    <row r="26" spans="2:9" x14ac:dyDescent="0.3">
      <c r="B26" s="2" t="s">
        <v>12</v>
      </c>
      <c r="C26" s="10"/>
      <c r="D26" s="4"/>
      <c r="E26" s="4"/>
      <c r="F26" s="4"/>
    </row>
    <row r="27" spans="2:9" x14ac:dyDescent="0.3">
      <c r="B27" s="2" t="s">
        <v>16</v>
      </c>
      <c r="C27" s="10"/>
      <c r="D27" s="4"/>
      <c r="E27" s="4">
        <f>D28</f>
        <v>0</v>
      </c>
      <c r="F27" s="4"/>
    </row>
    <row r="28" spans="2:9" x14ac:dyDescent="0.3">
      <c r="B28" t="s">
        <v>16</v>
      </c>
      <c r="D28" s="4">
        <v>0</v>
      </c>
      <c r="E28" s="4"/>
      <c r="F28" s="4"/>
    </row>
    <row r="29" spans="2:9" x14ac:dyDescent="0.3">
      <c r="B29" s="2" t="s">
        <v>13</v>
      </c>
      <c r="D29" s="4"/>
      <c r="E29" s="4"/>
      <c r="F29" s="4"/>
    </row>
    <row r="30" spans="2:9" x14ac:dyDescent="0.3">
      <c r="B30" s="2" t="s">
        <v>14</v>
      </c>
      <c r="D30" s="4"/>
      <c r="E30" s="4"/>
      <c r="F30" s="8">
        <f>E27</f>
        <v>0</v>
      </c>
    </row>
    <row r="31" spans="2:9" x14ac:dyDescent="0.3">
      <c r="B31" s="2"/>
      <c r="D31" s="4"/>
      <c r="E31" s="4"/>
      <c r="F31" s="8"/>
    </row>
    <row r="32" spans="2:9" x14ac:dyDescent="0.3">
      <c r="B32" s="1" t="s">
        <v>15</v>
      </c>
      <c r="F32" s="11">
        <f>E33</f>
        <v>497000</v>
      </c>
      <c r="I32" t="s">
        <v>16</v>
      </c>
    </row>
    <row r="33" spans="2:6" x14ac:dyDescent="0.3">
      <c r="B33" t="s">
        <v>17</v>
      </c>
      <c r="D33" s="3"/>
      <c r="E33" s="4">
        <f>F23-F30</f>
        <v>497000</v>
      </c>
    </row>
    <row r="35" spans="2:6" ht="15" thickBot="1" x14ac:dyDescent="0.35">
      <c r="B35" s="96" t="s">
        <v>18</v>
      </c>
      <c r="C35" s="96"/>
      <c r="D35" s="96"/>
      <c r="E35" s="96"/>
      <c r="F35" s="9">
        <f>F32+F30</f>
        <v>497000</v>
      </c>
    </row>
    <row r="36" spans="2:6" ht="15" thickTop="1" x14ac:dyDescent="0.3">
      <c r="B36" s="12"/>
      <c r="C36" s="12"/>
      <c r="D36" s="12"/>
      <c r="E36" s="12"/>
      <c r="F36" s="11"/>
    </row>
    <row r="38" spans="2:6" x14ac:dyDescent="0.3">
      <c r="B38" s="95" t="s">
        <v>19</v>
      </c>
      <c r="C38" s="95"/>
      <c r="D38" s="96" t="s">
        <v>20</v>
      </c>
      <c r="E38" s="96"/>
      <c r="F38" s="96"/>
    </row>
  </sheetData>
  <mergeCells count="7">
    <mergeCell ref="B38:C38"/>
    <mergeCell ref="D38:F38"/>
    <mergeCell ref="B3:F3"/>
    <mergeCell ref="B4:F4"/>
    <mergeCell ref="B5:F5"/>
    <mergeCell ref="B23:E23"/>
    <mergeCell ref="B35:E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74F3B-1ECA-4534-8ABE-F602DCAEEA40}">
  <dimension ref="A1:N86"/>
  <sheetViews>
    <sheetView topLeftCell="A43" workbookViewId="0">
      <selection activeCell="E52" sqref="E52"/>
    </sheetView>
  </sheetViews>
  <sheetFormatPr baseColWidth="10" defaultColWidth="10.77734375" defaultRowHeight="14.4" x14ac:dyDescent="0.3"/>
  <cols>
    <col min="2" max="2" width="50.109375" customWidth="1"/>
    <col min="3" max="4" width="10.77734375" style="13"/>
  </cols>
  <sheetData>
    <row r="1" spans="1:14" x14ac:dyDescent="0.3">
      <c r="A1" s="96" t="s">
        <v>21</v>
      </c>
      <c r="B1" s="96"/>
      <c r="C1" s="96"/>
      <c r="D1" s="96"/>
    </row>
    <row r="2" spans="1:14" ht="7.5" customHeight="1" x14ac:dyDescent="0.3"/>
    <row r="3" spans="1:14" ht="21.75" customHeight="1" x14ac:dyDescent="0.3">
      <c r="A3" s="14" t="s">
        <v>22</v>
      </c>
      <c r="B3" s="14" t="s">
        <v>23</v>
      </c>
      <c r="C3" s="15" t="s">
        <v>24</v>
      </c>
      <c r="D3" s="15" t="s">
        <v>25</v>
      </c>
    </row>
    <row r="4" spans="1:14" x14ac:dyDescent="0.3">
      <c r="A4" s="24">
        <v>45231</v>
      </c>
      <c r="B4" s="14" t="s">
        <v>26</v>
      </c>
      <c r="C4" s="18"/>
      <c r="D4" s="18"/>
      <c r="F4" t="s">
        <v>24</v>
      </c>
      <c r="G4" s="99" t="s">
        <v>35</v>
      </c>
      <c r="H4" s="99"/>
      <c r="I4" t="s">
        <v>25</v>
      </c>
      <c r="K4" t="s">
        <v>24</v>
      </c>
      <c r="L4" t="s">
        <v>36</v>
      </c>
      <c r="N4" t="s">
        <v>25</v>
      </c>
    </row>
    <row r="5" spans="1:14" x14ac:dyDescent="0.3">
      <c r="A5" s="17"/>
      <c r="B5" s="17" t="s">
        <v>35</v>
      </c>
      <c r="C5" s="18">
        <v>240000</v>
      </c>
      <c r="D5" s="18"/>
      <c r="G5">
        <v>240000</v>
      </c>
      <c r="H5" s="30">
        <v>7400</v>
      </c>
      <c r="L5">
        <v>170000</v>
      </c>
    </row>
    <row r="6" spans="1:14" x14ac:dyDescent="0.3">
      <c r="A6" s="17"/>
      <c r="B6" s="22" t="s">
        <v>36</v>
      </c>
      <c r="C6" s="18">
        <v>170000</v>
      </c>
      <c r="D6" s="18" t="s">
        <v>16</v>
      </c>
      <c r="H6" s="30">
        <v>2400</v>
      </c>
    </row>
    <row r="7" spans="1:14" x14ac:dyDescent="0.3">
      <c r="A7" s="17"/>
      <c r="B7" s="17" t="s">
        <v>37</v>
      </c>
      <c r="C7" s="18">
        <v>55000</v>
      </c>
      <c r="D7" s="18"/>
      <c r="H7" s="31">
        <v>21822.5</v>
      </c>
    </row>
    <row r="8" spans="1:14" x14ac:dyDescent="0.3">
      <c r="A8" s="16" t="s">
        <v>16</v>
      </c>
      <c r="B8" s="17" t="s">
        <v>38</v>
      </c>
      <c r="C8" s="18">
        <v>32000</v>
      </c>
      <c r="D8" s="18"/>
      <c r="H8" s="31">
        <v>7500</v>
      </c>
    </row>
    <row r="9" spans="1:14" x14ac:dyDescent="0.3">
      <c r="A9" s="17"/>
      <c r="B9" s="19" t="s">
        <v>27</v>
      </c>
      <c r="C9" s="18" t="s">
        <v>16</v>
      </c>
      <c r="D9" s="18">
        <f>SUM(C5:C8)</f>
        <v>497000</v>
      </c>
      <c r="H9" s="31">
        <v>7500</v>
      </c>
    </row>
    <row r="10" spans="1:14" x14ac:dyDescent="0.3">
      <c r="A10" s="17"/>
      <c r="B10" s="22" t="s">
        <v>39</v>
      </c>
      <c r="C10" s="18" t="s">
        <v>16</v>
      </c>
      <c r="D10" s="18" t="s">
        <v>16</v>
      </c>
      <c r="H10" s="31">
        <v>11400</v>
      </c>
    </row>
    <row r="11" spans="1:14" x14ac:dyDescent="0.3">
      <c r="A11" s="24">
        <v>45232</v>
      </c>
      <c r="B11" s="25" t="s">
        <v>28</v>
      </c>
      <c r="C11" s="18"/>
      <c r="D11" s="18"/>
      <c r="G11">
        <f>G5</f>
        <v>240000</v>
      </c>
      <c r="H11" s="30">
        <f>SUM(H5:H10)</f>
        <v>58022.5</v>
      </c>
    </row>
    <row r="12" spans="1:14" x14ac:dyDescent="0.3">
      <c r="A12" s="16" t="s">
        <v>16</v>
      </c>
      <c r="B12" s="17" t="s">
        <v>40</v>
      </c>
      <c r="C12" s="18">
        <v>3045</v>
      </c>
      <c r="D12" s="18"/>
    </row>
    <row r="13" spans="1:14" x14ac:dyDescent="0.3">
      <c r="A13" s="17"/>
      <c r="B13" s="20" t="s">
        <v>41</v>
      </c>
      <c r="C13" s="18">
        <f>D14-C12</f>
        <v>455</v>
      </c>
      <c r="D13" s="18"/>
      <c r="G13" t="s">
        <v>37</v>
      </c>
      <c r="L13" t="s">
        <v>38</v>
      </c>
    </row>
    <row r="14" spans="1:14" x14ac:dyDescent="0.3">
      <c r="A14" s="17"/>
      <c r="B14" s="19" t="s">
        <v>36</v>
      </c>
      <c r="C14" s="23"/>
      <c r="D14" s="18">
        <v>3500</v>
      </c>
      <c r="G14">
        <v>55000</v>
      </c>
      <c r="L14">
        <v>32000</v>
      </c>
    </row>
    <row r="15" spans="1:14" x14ac:dyDescent="0.3">
      <c r="A15" s="17"/>
      <c r="B15" s="22" t="s">
        <v>42</v>
      </c>
      <c r="C15" s="23"/>
      <c r="D15" s="18"/>
    </row>
    <row r="16" spans="1:14" x14ac:dyDescent="0.3">
      <c r="A16" s="24">
        <v>45234</v>
      </c>
      <c r="B16" s="25" t="s">
        <v>29</v>
      </c>
      <c r="C16" s="18"/>
      <c r="D16" s="18"/>
    </row>
    <row r="17" spans="1:12" x14ac:dyDescent="0.3">
      <c r="A17" s="16" t="s">
        <v>16</v>
      </c>
      <c r="B17" s="17" t="s">
        <v>43</v>
      </c>
      <c r="C17" s="18">
        <v>6438</v>
      </c>
      <c r="D17" s="18"/>
    </row>
    <row r="18" spans="1:12" x14ac:dyDescent="0.3">
      <c r="A18" s="17"/>
      <c r="B18" s="17" t="s">
        <v>41</v>
      </c>
      <c r="C18" s="18">
        <f>D19-C17</f>
        <v>962</v>
      </c>
      <c r="D18" s="18"/>
    </row>
    <row r="19" spans="1:12" x14ac:dyDescent="0.3">
      <c r="A19" s="17"/>
      <c r="B19" s="19" t="s">
        <v>35</v>
      </c>
      <c r="C19" s="18" t="s">
        <v>16</v>
      </c>
      <c r="D19" s="18">
        <v>7400</v>
      </c>
    </row>
    <row r="20" spans="1:12" x14ac:dyDescent="0.3">
      <c r="A20" s="17"/>
      <c r="B20" s="22" t="s">
        <v>45</v>
      </c>
      <c r="C20" s="18"/>
      <c r="D20" s="18"/>
    </row>
    <row r="21" spans="1:12" x14ac:dyDescent="0.3">
      <c r="A21" s="24">
        <v>45236</v>
      </c>
      <c r="B21" s="25" t="s">
        <v>30</v>
      </c>
      <c r="C21" s="18"/>
      <c r="D21" s="18"/>
    </row>
    <row r="22" spans="1:12" x14ac:dyDescent="0.3">
      <c r="A22" s="17"/>
      <c r="B22" s="17" t="s">
        <v>44</v>
      </c>
      <c r="C22" s="18">
        <v>2958</v>
      </c>
      <c r="D22" s="18"/>
      <c r="G22" t="s">
        <v>40</v>
      </c>
      <c r="L22" t="s">
        <v>41</v>
      </c>
    </row>
    <row r="23" spans="1:12" x14ac:dyDescent="0.3">
      <c r="A23" s="17"/>
      <c r="B23" s="22" t="s">
        <v>41</v>
      </c>
      <c r="C23" s="18">
        <f>D24-C22</f>
        <v>442</v>
      </c>
      <c r="D23" s="18" t="s">
        <v>16</v>
      </c>
      <c r="G23">
        <v>3045</v>
      </c>
      <c r="L23">
        <v>455</v>
      </c>
    </row>
    <row r="24" spans="1:12" x14ac:dyDescent="0.3">
      <c r="A24" s="17"/>
      <c r="B24" s="19" t="s">
        <v>36</v>
      </c>
      <c r="C24" s="18" t="s">
        <v>16</v>
      </c>
      <c r="D24" s="18">
        <v>3400</v>
      </c>
    </row>
    <row r="25" spans="1:12" x14ac:dyDescent="0.3">
      <c r="A25" s="16" t="s">
        <v>16</v>
      </c>
      <c r="B25" s="22" t="s">
        <v>46</v>
      </c>
      <c r="C25" s="18"/>
      <c r="D25" s="18"/>
    </row>
    <row r="26" spans="1:12" x14ac:dyDescent="0.3">
      <c r="A26" s="24">
        <v>45239</v>
      </c>
      <c r="B26" s="25" t="s">
        <v>47</v>
      </c>
      <c r="C26" s="18" t="s">
        <v>16</v>
      </c>
      <c r="D26" s="18"/>
    </row>
    <row r="27" spans="1:12" x14ac:dyDescent="0.3">
      <c r="A27" s="17" t="s">
        <v>16</v>
      </c>
      <c r="B27" s="22" t="s">
        <v>36</v>
      </c>
      <c r="C27" s="18">
        <v>4800</v>
      </c>
      <c r="D27" s="18" t="s">
        <v>16</v>
      </c>
    </row>
    <row r="28" spans="1:12" x14ac:dyDescent="0.3">
      <c r="A28" s="17"/>
      <c r="B28" s="26" t="s">
        <v>51</v>
      </c>
      <c r="C28" s="18">
        <f>C27*3/100</f>
        <v>144</v>
      </c>
      <c r="D28" s="18"/>
    </row>
    <row r="29" spans="1:12" x14ac:dyDescent="0.3">
      <c r="A29" s="16" t="s">
        <v>16</v>
      </c>
      <c r="B29" s="19" t="s">
        <v>48</v>
      </c>
      <c r="C29" s="18" t="s">
        <v>16</v>
      </c>
      <c r="D29" s="18">
        <f>C27-D30</f>
        <v>4176</v>
      </c>
    </row>
    <row r="30" spans="1:12" x14ac:dyDescent="0.3">
      <c r="A30" s="17" t="s">
        <v>16</v>
      </c>
      <c r="B30" s="19" t="s">
        <v>49</v>
      </c>
      <c r="C30" s="18" t="s">
        <v>16</v>
      </c>
      <c r="D30" s="18">
        <f>C27*13/100</f>
        <v>624</v>
      </c>
    </row>
    <row r="31" spans="1:12" x14ac:dyDescent="0.3">
      <c r="A31" s="17"/>
      <c r="B31" s="27" t="s">
        <v>50</v>
      </c>
      <c r="C31" s="18" t="s">
        <v>16</v>
      </c>
      <c r="D31" s="18">
        <f>C28</f>
        <v>144</v>
      </c>
    </row>
    <row r="32" spans="1:12" x14ac:dyDescent="0.3">
      <c r="A32" s="17"/>
      <c r="B32" s="22" t="s">
        <v>59</v>
      </c>
      <c r="C32" s="18"/>
      <c r="D32" s="18"/>
    </row>
    <row r="33" spans="1:4" x14ac:dyDescent="0.3">
      <c r="A33" s="24">
        <v>45241</v>
      </c>
      <c r="B33" s="25" t="s">
        <v>52</v>
      </c>
      <c r="C33" s="18" t="s">
        <v>16</v>
      </c>
      <c r="D33" s="18"/>
    </row>
    <row r="34" spans="1:4" x14ac:dyDescent="0.3">
      <c r="A34" s="17" t="s">
        <v>16</v>
      </c>
      <c r="B34" s="22" t="s">
        <v>53</v>
      </c>
      <c r="C34" s="18">
        <f>D36-C35</f>
        <v>2088</v>
      </c>
      <c r="D34" s="18" t="s">
        <v>16</v>
      </c>
    </row>
    <row r="35" spans="1:4" x14ac:dyDescent="0.3">
      <c r="A35" s="17"/>
      <c r="B35" s="26" t="s">
        <v>41</v>
      </c>
      <c r="C35" s="18">
        <f>D36*13/100</f>
        <v>312</v>
      </c>
      <c r="D35" s="18"/>
    </row>
    <row r="36" spans="1:4" x14ac:dyDescent="0.3">
      <c r="A36" s="16" t="s">
        <v>16</v>
      </c>
      <c r="B36" s="19" t="s">
        <v>35</v>
      </c>
      <c r="C36" s="18" t="s">
        <v>16</v>
      </c>
      <c r="D36" s="18">
        <v>2400</v>
      </c>
    </row>
    <row r="37" spans="1:4" x14ac:dyDescent="0.3">
      <c r="A37" s="16"/>
      <c r="B37" s="22" t="s">
        <v>60</v>
      </c>
      <c r="C37" s="18"/>
      <c r="D37" s="18"/>
    </row>
    <row r="38" spans="1:4" x14ac:dyDescent="0.3">
      <c r="A38" s="24">
        <v>45242</v>
      </c>
      <c r="B38" s="25" t="s">
        <v>55</v>
      </c>
      <c r="C38" s="18" t="s">
        <v>16</v>
      </c>
      <c r="D38" s="18" t="s">
        <v>16</v>
      </c>
    </row>
    <row r="39" spans="1:4" x14ac:dyDescent="0.3">
      <c r="A39" s="17"/>
      <c r="B39" s="21" t="s">
        <v>56</v>
      </c>
      <c r="C39" s="18">
        <v>7134</v>
      </c>
      <c r="D39" s="18"/>
    </row>
    <row r="40" spans="1:4" x14ac:dyDescent="0.3">
      <c r="A40" s="16" t="s">
        <v>16</v>
      </c>
      <c r="B40" s="17" t="s">
        <v>41</v>
      </c>
      <c r="C40" s="18">
        <v>1066</v>
      </c>
      <c r="D40" s="18"/>
    </row>
    <row r="41" spans="1:4" x14ac:dyDescent="0.3">
      <c r="A41" s="17" t="s">
        <v>16</v>
      </c>
      <c r="B41" s="19" t="s">
        <v>57</v>
      </c>
      <c r="C41" s="18" t="s">
        <v>16</v>
      </c>
      <c r="D41" s="18">
        <v>8200</v>
      </c>
    </row>
    <row r="42" spans="1:4" x14ac:dyDescent="0.3">
      <c r="A42" s="17"/>
      <c r="B42" s="22" t="s">
        <v>54</v>
      </c>
      <c r="C42" s="18"/>
      <c r="D42" s="18"/>
    </row>
    <row r="43" spans="1:4" x14ac:dyDescent="0.3">
      <c r="A43" s="24">
        <v>45248</v>
      </c>
      <c r="B43" s="25" t="s">
        <v>58</v>
      </c>
      <c r="C43" s="18" t="s">
        <v>16</v>
      </c>
      <c r="D43" s="18"/>
    </row>
    <row r="44" spans="1:4" x14ac:dyDescent="0.3">
      <c r="A44" s="24"/>
      <c r="B44" s="17" t="s">
        <v>57</v>
      </c>
      <c r="C44" s="18">
        <v>8200</v>
      </c>
      <c r="D44" s="18"/>
    </row>
    <row r="45" spans="1:4" x14ac:dyDescent="0.3">
      <c r="A45" s="17" t="s">
        <v>16</v>
      </c>
      <c r="B45" s="19" t="s">
        <v>43</v>
      </c>
      <c r="C45" s="18" t="s">
        <v>16</v>
      </c>
      <c r="D45" s="18">
        <v>7134</v>
      </c>
    </row>
    <row r="46" spans="1:4" x14ac:dyDescent="0.3">
      <c r="A46" s="17"/>
      <c r="B46" s="28" t="s">
        <v>49</v>
      </c>
      <c r="C46" s="18" t="s">
        <v>16</v>
      </c>
      <c r="D46" s="18">
        <v>1066</v>
      </c>
    </row>
    <row r="47" spans="1:4" x14ac:dyDescent="0.3">
      <c r="A47" s="16" t="s">
        <v>16</v>
      </c>
      <c r="B47" s="17" t="s">
        <v>61</v>
      </c>
      <c r="C47" s="18" t="s">
        <v>16</v>
      </c>
      <c r="D47" s="18"/>
    </row>
    <row r="48" spans="1:4" x14ac:dyDescent="0.3">
      <c r="A48" s="24">
        <v>45257</v>
      </c>
      <c r="B48" s="25" t="s">
        <v>77</v>
      </c>
      <c r="C48" s="18" t="s">
        <v>16</v>
      </c>
      <c r="D48" s="18" t="s">
        <v>16</v>
      </c>
    </row>
    <row r="49" spans="1:4" x14ac:dyDescent="0.3">
      <c r="A49" s="17"/>
      <c r="B49" s="29" t="s">
        <v>64</v>
      </c>
      <c r="C49" s="18">
        <v>25000</v>
      </c>
      <c r="D49" s="18"/>
    </row>
    <row r="50" spans="1:4" x14ac:dyDescent="0.3">
      <c r="A50" s="17"/>
      <c r="B50" s="28" t="s">
        <v>35</v>
      </c>
      <c r="C50" s="18" t="s">
        <v>16</v>
      </c>
      <c r="D50" s="18">
        <v>21822.5</v>
      </c>
    </row>
    <row r="51" spans="1:4" x14ac:dyDescent="0.3">
      <c r="A51" s="17"/>
      <c r="B51" s="28" t="s">
        <v>63</v>
      </c>
      <c r="C51" s="18" t="s">
        <v>16</v>
      </c>
      <c r="D51" s="18">
        <f>C49*12.71/100</f>
        <v>3177.5</v>
      </c>
    </row>
    <row r="52" spans="1:4" x14ac:dyDescent="0.3">
      <c r="A52" s="17"/>
      <c r="B52" s="21" t="s">
        <v>62</v>
      </c>
      <c r="C52" s="18" t="s">
        <v>16</v>
      </c>
      <c r="D52" s="18"/>
    </row>
    <row r="53" spans="1:4" x14ac:dyDescent="0.3">
      <c r="A53" s="24">
        <v>45257</v>
      </c>
      <c r="B53" s="25" t="s">
        <v>65</v>
      </c>
      <c r="C53" s="18" t="s">
        <v>16</v>
      </c>
      <c r="D53" s="18"/>
    </row>
    <row r="54" spans="1:4" x14ac:dyDescent="0.3">
      <c r="A54" s="17"/>
      <c r="B54" s="21" t="s">
        <v>66</v>
      </c>
      <c r="C54" s="18">
        <v>16677.5</v>
      </c>
      <c r="D54" s="18"/>
    </row>
    <row r="55" spans="1:4" x14ac:dyDescent="0.3">
      <c r="A55" s="17"/>
      <c r="B55" s="21" t="s">
        <v>67</v>
      </c>
      <c r="C55" s="18">
        <v>2500</v>
      </c>
      <c r="D55" s="18"/>
    </row>
    <row r="56" spans="1:4" x14ac:dyDescent="0.3">
      <c r="A56" s="17"/>
      <c r="B56" s="21" t="s">
        <v>68</v>
      </c>
      <c r="C56" s="18">
        <v>2083.33</v>
      </c>
      <c r="D56" s="18"/>
    </row>
    <row r="57" spans="1:4" x14ac:dyDescent="0.3">
      <c r="A57" s="17"/>
      <c r="B57" s="21" t="s">
        <v>73</v>
      </c>
      <c r="C57" s="18">
        <v>2083.33</v>
      </c>
      <c r="D57" s="18"/>
    </row>
    <row r="58" spans="1:4" x14ac:dyDescent="0.3">
      <c r="A58" s="17"/>
      <c r="B58" s="21" t="s">
        <v>72</v>
      </c>
      <c r="C58" s="18">
        <v>2083.33</v>
      </c>
      <c r="D58" s="18"/>
    </row>
    <row r="59" spans="1:4" x14ac:dyDescent="0.3">
      <c r="A59" s="17"/>
      <c r="B59" s="28" t="s">
        <v>69</v>
      </c>
      <c r="C59" s="18" t="s">
        <v>16</v>
      </c>
      <c r="D59" s="18">
        <v>1677.5</v>
      </c>
    </row>
    <row r="60" spans="1:4" x14ac:dyDescent="0.3">
      <c r="A60" s="17"/>
      <c r="B60" s="28" t="s">
        <v>70</v>
      </c>
      <c r="C60" s="18" t="s">
        <v>16</v>
      </c>
      <c r="D60" s="18">
        <v>2500</v>
      </c>
    </row>
    <row r="61" spans="1:4" x14ac:dyDescent="0.3">
      <c r="A61" s="17"/>
      <c r="B61" s="28" t="s">
        <v>71</v>
      </c>
      <c r="C61" s="18" t="s">
        <v>16</v>
      </c>
      <c r="D61" s="18">
        <v>2083.33</v>
      </c>
    </row>
    <row r="62" spans="1:4" x14ac:dyDescent="0.3">
      <c r="A62" s="17"/>
      <c r="B62" s="28" t="s">
        <v>74</v>
      </c>
      <c r="C62" s="18" t="s">
        <v>16</v>
      </c>
      <c r="D62" s="18">
        <v>2083.33</v>
      </c>
    </row>
    <row r="63" spans="1:4" x14ac:dyDescent="0.3">
      <c r="A63" s="17"/>
      <c r="B63" s="28" t="s">
        <v>75</v>
      </c>
      <c r="C63" s="18" t="s">
        <v>16</v>
      </c>
      <c r="D63" s="18">
        <v>2083.33</v>
      </c>
    </row>
    <row r="64" spans="1:4" x14ac:dyDescent="0.3">
      <c r="A64" s="24" t="s">
        <v>16</v>
      </c>
      <c r="B64" s="28" t="s">
        <v>76</v>
      </c>
      <c r="C64" s="18" t="s">
        <v>16</v>
      </c>
      <c r="D64" s="18"/>
    </row>
    <row r="65" spans="1:4" x14ac:dyDescent="0.3">
      <c r="A65" s="24">
        <v>45257</v>
      </c>
      <c r="B65" s="25" t="s">
        <v>77</v>
      </c>
      <c r="C65" s="18" t="s">
        <v>16</v>
      </c>
      <c r="D65" s="18"/>
    </row>
    <row r="66" spans="1:4" x14ac:dyDescent="0.3">
      <c r="A66" s="17"/>
      <c r="B66" s="21" t="s">
        <v>43</v>
      </c>
      <c r="C66" s="18">
        <v>13050</v>
      </c>
      <c r="D66" s="18"/>
    </row>
    <row r="67" spans="1:4" x14ac:dyDescent="0.3">
      <c r="A67" s="17"/>
      <c r="B67" s="21" t="s">
        <v>41</v>
      </c>
      <c r="C67" s="18">
        <v>1950</v>
      </c>
      <c r="D67" s="18"/>
    </row>
    <row r="68" spans="1:4" x14ac:dyDescent="0.3">
      <c r="A68" s="17"/>
      <c r="B68" s="28" t="s">
        <v>57</v>
      </c>
      <c r="C68" s="18" t="s">
        <v>16</v>
      </c>
      <c r="D68" s="18">
        <v>7500</v>
      </c>
    </row>
    <row r="69" spans="1:4" x14ac:dyDescent="0.3">
      <c r="A69" s="17"/>
      <c r="B69" s="28" t="s">
        <v>35</v>
      </c>
      <c r="C69" s="18" t="s">
        <v>16</v>
      </c>
      <c r="D69" s="18">
        <v>7500</v>
      </c>
    </row>
    <row r="70" spans="1:4" x14ac:dyDescent="0.3">
      <c r="A70" s="17"/>
      <c r="B70" s="21" t="s">
        <v>78</v>
      </c>
      <c r="C70" s="18" t="s">
        <v>16</v>
      </c>
      <c r="D70" s="18"/>
    </row>
    <row r="71" spans="1:4" x14ac:dyDescent="0.3">
      <c r="A71" s="24">
        <v>45258</v>
      </c>
      <c r="B71" s="25" t="s">
        <v>79</v>
      </c>
      <c r="C71" s="18" t="s">
        <v>16</v>
      </c>
      <c r="D71" s="18"/>
    </row>
    <row r="72" spans="1:4" x14ac:dyDescent="0.3">
      <c r="A72" s="17"/>
      <c r="B72" s="21" t="s">
        <v>57</v>
      </c>
      <c r="C72" s="18">
        <v>7500</v>
      </c>
      <c r="D72" s="18"/>
    </row>
    <row r="73" spans="1:4" x14ac:dyDescent="0.3">
      <c r="A73" s="17"/>
      <c r="B73" s="28" t="s">
        <v>35</v>
      </c>
      <c r="C73" s="18" t="s">
        <v>16</v>
      </c>
      <c r="D73" s="18">
        <v>7500</v>
      </c>
    </row>
    <row r="74" spans="1:4" x14ac:dyDescent="0.3">
      <c r="A74" s="17"/>
      <c r="B74" s="21" t="s">
        <v>80</v>
      </c>
      <c r="C74" s="18" t="s">
        <v>16</v>
      </c>
      <c r="D74" s="18"/>
    </row>
    <row r="75" spans="1:4" x14ac:dyDescent="0.3">
      <c r="A75" s="24">
        <v>45258</v>
      </c>
      <c r="B75" s="25" t="s">
        <v>81</v>
      </c>
      <c r="C75" s="18" t="s">
        <v>16</v>
      </c>
      <c r="D75" s="18"/>
    </row>
    <row r="76" spans="1:4" x14ac:dyDescent="0.3">
      <c r="A76" s="24" t="s">
        <v>16</v>
      </c>
      <c r="B76" s="21" t="s">
        <v>43</v>
      </c>
      <c r="C76" s="18">
        <v>10440</v>
      </c>
      <c r="D76" s="18"/>
    </row>
    <row r="77" spans="1:4" x14ac:dyDescent="0.3">
      <c r="A77" s="17"/>
      <c r="B77" s="21" t="s">
        <v>41</v>
      </c>
      <c r="C77" s="18">
        <v>1650</v>
      </c>
      <c r="D77" s="18"/>
    </row>
    <row r="78" spans="1:4" x14ac:dyDescent="0.3">
      <c r="A78" s="17"/>
      <c r="B78" s="28" t="s">
        <v>35</v>
      </c>
      <c r="C78" s="18" t="s">
        <v>16</v>
      </c>
      <c r="D78" s="18">
        <v>11400</v>
      </c>
    </row>
    <row r="79" spans="1:4" x14ac:dyDescent="0.3">
      <c r="A79" s="17"/>
      <c r="B79" s="28" t="s">
        <v>82</v>
      </c>
      <c r="C79" s="18" t="s">
        <v>16</v>
      </c>
      <c r="D79" s="18">
        <v>522</v>
      </c>
    </row>
    <row r="80" spans="1:4" x14ac:dyDescent="0.3">
      <c r="A80" s="17"/>
      <c r="B80" s="28" t="s">
        <v>49</v>
      </c>
      <c r="C80" s="18" t="s">
        <v>16</v>
      </c>
      <c r="D80" s="18">
        <v>78</v>
      </c>
    </row>
    <row r="81" spans="1:4" x14ac:dyDescent="0.3">
      <c r="A81" s="17"/>
      <c r="B81" s="21" t="s">
        <v>83</v>
      </c>
      <c r="C81" s="18" t="s">
        <v>16</v>
      </c>
      <c r="D81" s="18"/>
    </row>
    <row r="82" spans="1:4" x14ac:dyDescent="0.3">
      <c r="A82" s="24">
        <v>45260</v>
      </c>
      <c r="B82" s="25" t="s">
        <v>84</v>
      </c>
      <c r="C82" s="18" t="s">
        <v>16</v>
      </c>
      <c r="D82" s="18"/>
    </row>
    <row r="83" spans="1:4" x14ac:dyDescent="0.3">
      <c r="A83" s="17"/>
      <c r="B83" s="21" t="s">
        <v>49</v>
      </c>
      <c r="C83" s="18">
        <v>1768</v>
      </c>
      <c r="D83" s="18"/>
    </row>
    <row r="84" spans="1:4" x14ac:dyDescent="0.3">
      <c r="A84" s="17"/>
      <c r="B84" s="28" t="s">
        <v>41</v>
      </c>
      <c r="C84" s="18" t="s">
        <v>16</v>
      </c>
      <c r="D84" s="18">
        <v>1768</v>
      </c>
    </row>
    <row r="85" spans="1:4" x14ac:dyDescent="0.3">
      <c r="A85" s="17"/>
      <c r="B85" s="21" t="s">
        <v>16</v>
      </c>
      <c r="C85" s="18" t="s">
        <v>16</v>
      </c>
      <c r="D85" s="18"/>
    </row>
    <row r="86" spans="1:4" x14ac:dyDescent="0.3">
      <c r="A86" s="17"/>
      <c r="B86" s="21" t="s">
        <v>16</v>
      </c>
      <c r="C86" s="18" t="s">
        <v>16</v>
      </c>
      <c r="D86" s="18"/>
    </row>
  </sheetData>
  <mergeCells count="2">
    <mergeCell ref="A1:D1"/>
    <mergeCell ref="G4:H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236A-2539-4344-A251-C7B9BBA88098}">
  <dimension ref="A1"/>
  <sheetViews>
    <sheetView topLeftCell="A4" workbookViewId="0">
      <selection activeCell="J23" sqref="J23"/>
    </sheetView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84E9-118A-4276-99C7-D7DA0CE93703}">
  <sheetPr>
    <tabColor theme="8" tint="-0.249977111117893"/>
  </sheetPr>
  <dimension ref="A4:U97"/>
  <sheetViews>
    <sheetView tabSelected="1" topLeftCell="A55" zoomScaleNormal="100" workbookViewId="0">
      <selection activeCell="N84" sqref="N84"/>
    </sheetView>
  </sheetViews>
  <sheetFormatPr baseColWidth="10" defaultColWidth="11.44140625" defaultRowHeight="14.4" x14ac:dyDescent="0.3"/>
  <cols>
    <col min="1" max="1" width="14.88671875" style="13" customWidth="1"/>
    <col min="2" max="2" width="14.77734375" style="13" customWidth="1"/>
    <col min="3" max="3" width="5.109375" style="13" customWidth="1"/>
    <col min="4" max="4" width="14.33203125" style="13" customWidth="1"/>
    <col min="5" max="5" width="14.44140625" style="13" customWidth="1"/>
    <col min="6" max="6" width="5.109375" style="13" customWidth="1"/>
    <col min="7" max="7" width="13" style="13" customWidth="1"/>
    <col min="8" max="8" width="11.6640625" style="13" customWidth="1"/>
    <col min="9" max="9" width="5.109375" style="13" customWidth="1"/>
    <col min="10" max="11" width="11.44140625" style="13"/>
    <col min="12" max="12" width="5.109375" style="13" customWidth="1"/>
    <col min="13" max="13" width="16.88671875" style="13" customWidth="1"/>
    <col min="14" max="14" width="11.5546875" style="13" customWidth="1"/>
  </cols>
  <sheetData>
    <row r="4" spans="1:21" x14ac:dyDescent="0.3">
      <c r="A4" s="142" t="str">
        <f>+'[1]Libro Diario 1'!B5</f>
        <v>BANCO GANADERO M/N</v>
      </c>
      <c r="B4" s="142"/>
      <c r="D4" s="142" t="s">
        <v>35</v>
      </c>
      <c r="E4" s="142"/>
      <c r="G4" s="146" t="str">
        <f>+'[1]Libro Diario 1'!$B$7</f>
        <v>INVENTARIO DE MERCADERIAS</v>
      </c>
      <c r="H4" s="146"/>
      <c r="J4" s="147" t="str">
        <f>+'[1]Libro Diario 1'!$B$8</f>
        <v>ALQUILERES PAGADOS POR ANTICIPADO</v>
      </c>
      <c r="K4" s="147"/>
      <c r="M4" s="142" t="str">
        <f>+'[1]Libro Diario 1'!$B$9</f>
        <v>MUEBLES Y ENSERES</v>
      </c>
      <c r="N4" s="142"/>
      <c r="O4" s="145"/>
      <c r="P4" s="145"/>
      <c r="Q4" s="13"/>
      <c r="R4" s="145"/>
      <c r="S4" s="145"/>
      <c r="T4" s="13"/>
      <c r="U4" s="13">
        <f>'[1]Lista de Libros'!S4</f>
        <v>0</v>
      </c>
    </row>
    <row r="5" spans="1:21" x14ac:dyDescent="0.3">
      <c r="A5" s="141">
        <f>+'[1]Libro Diario 1'!C5</f>
        <v>255000</v>
      </c>
      <c r="B5" s="13">
        <f>+'[1]Libro Diario 1'!D23</f>
        <v>32500</v>
      </c>
      <c r="D5" s="141">
        <v>100000</v>
      </c>
      <c r="E5" s="13">
        <v>3500</v>
      </c>
      <c r="G5" s="141">
        <f>+'[1]Libro Diario 1'!$C$7</f>
        <v>84000</v>
      </c>
      <c r="J5" s="141">
        <f>+'[1]Libro Diario 1'!$C$8</f>
        <v>55000</v>
      </c>
      <c r="M5" s="141">
        <f>+'[1]Libro Diario 1'!$C$9</f>
        <v>12000</v>
      </c>
    </row>
    <row r="6" spans="1:21" x14ac:dyDescent="0.3">
      <c r="A6" s="140">
        <f>+'[1]Libro Diario 1'!C52</f>
        <v>25830</v>
      </c>
      <c r="B6" s="13">
        <f>+'[1]Libro Diario 1'!D29</f>
        <v>90000</v>
      </c>
      <c r="D6" s="140">
        <f>+'[1]Libro Diario 1'!C33</f>
        <v>33000</v>
      </c>
      <c r="E6" s="13">
        <f>+'[1]Libro Diario 1'!D43</f>
        <v>950</v>
      </c>
      <c r="G6" s="140">
        <f>+'[1]Libro Diario 1'!$C$21</f>
        <v>56550</v>
      </c>
      <c r="J6" s="140"/>
      <c r="M6" s="140"/>
    </row>
    <row r="7" spans="1:21" x14ac:dyDescent="0.3">
      <c r="A7" s="140">
        <f>+'[1]Libro Diario 1'!C83</f>
        <v>9100</v>
      </c>
      <c r="B7" s="13">
        <f>+'[1]Libro Diario 1'!D48</f>
        <v>76000</v>
      </c>
      <c r="D7" s="140">
        <f>+'[1]Libro Diario 1'!C60</f>
        <v>23400</v>
      </c>
      <c r="E7" s="13">
        <f>+'[1]Libro Diario 1'!$D$49</f>
        <v>19000</v>
      </c>
      <c r="G7" s="140">
        <f>+'[1]Libro Diario 1'!$C$27</f>
        <v>174000</v>
      </c>
      <c r="J7" s="140"/>
      <c r="M7" s="140"/>
    </row>
    <row r="8" spans="1:21" x14ac:dyDescent="0.3">
      <c r="A8" s="140">
        <v>400000</v>
      </c>
      <c r="B8" s="13">
        <f>+'[1]Libro Diario 1'!D89</f>
        <v>5000</v>
      </c>
      <c r="D8" s="140">
        <f>+'[1]Libro Diario 1'!C116</f>
        <v>73450</v>
      </c>
      <c r="E8" s="13">
        <f>+'[1]Libro Diario 1'!$D$75</f>
        <v>3000</v>
      </c>
      <c r="G8" s="140">
        <f>+'[1]Libro Diario 1'!$C$46</f>
        <v>82650</v>
      </c>
      <c r="J8" s="140"/>
      <c r="M8" s="140"/>
    </row>
    <row r="9" spans="1:21" x14ac:dyDescent="0.3">
      <c r="A9" s="140">
        <f>+'[1]Libro Diario 1'!C132</f>
        <v>39550</v>
      </c>
      <c r="B9" s="13">
        <f>+'[1]Libro Diario 1'!D93</f>
        <v>372335.495</v>
      </c>
      <c r="D9" s="140">
        <f>+'[1]Libro Diario 1'!C124</f>
        <v>26268</v>
      </c>
      <c r="E9" s="13">
        <f>+'[1]Libro Diario 1'!$D$80</f>
        <v>250000</v>
      </c>
      <c r="G9" s="140">
        <f>+'[1]Libro Diario 1'!$C$68</f>
        <v>174000</v>
      </c>
      <c r="J9" s="140"/>
      <c r="M9" s="140"/>
    </row>
    <row r="10" spans="1:21" x14ac:dyDescent="0.3">
      <c r="A10" s="140">
        <f>+'[1]Libro Diario 1'!C157</f>
        <v>140000</v>
      </c>
      <c r="B10" s="13">
        <f>+'[1]Libro Diario 1'!D138</f>
        <v>10000</v>
      </c>
      <c r="D10" s="140">
        <f>+'[1]Libro Diario 1'!C141</f>
        <v>51840</v>
      </c>
      <c r="E10" s="13">
        <f>+'[1]Libro Diario 1'!$D$158</f>
        <v>140000</v>
      </c>
      <c r="G10" s="140">
        <f>+'[1]Libro Diario 1'!$C$78</f>
        <v>217500</v>
      </c>
      <c r="J10" s="140"/>
      <c r="M10" s="140"/>
    </row>
    <row r="11" spans="1:21" x14ac:dyDescent="0.3">
      <c r="A11" s="140"/>
      <c r="B11" s="13">
        <f>+'[1]Libro Diario 1'!$D$167</f>
        <v>260757.05249999999</v>
      </c>
      <c r="D11" s="140">
        <f>+'[1]Libro Diario 1'!C149</f>
        <v>121000</v>
      </c>
      <c r="E11" s="13">
        <f>+'[1]Libro Diario 1'!$D$163</f>
        <v>3256</v>
      </c>
      <c r="G11" s="140"/>
      <c r="J11" s="140"/>
      <c r="M11" s="140"/>
    </row>
    <row r="12" spans="1:21" x14ac:dyDescent="0.3">
      <c r="A12" s="140"/>
      <c r="D12" s="140"/>
      <c r="G12" s="140"/>
      <c r="J12" s="140"/>
      <c r="M12" s="140"/>
    </row>
    <row r="13" spans="1:21" x14ac:dyDescent="0.3">
      <c r="A13" s="151">
        <f>SUM(A5:A12)</f>
        <v>869480</v>
      </c>
      <c r="B13" s="151">
        <f>SUM(B5:B12)</f>
        <v>846592.54749999999</v>
      </c>
      <c r="D13" s="151">
        <f>SUM(D5:D12)</f>
        <v>428958</v>
      </c>
      <c r="E13" s="151">
        <f>SUM(E5:E12)</f>
        <v>419706</v>
      </c>
      <c r="G13" s="151">
        <f>SUM(G5:G12)</f>
        <v>788700</v>
      </c>
      <c r="H13" s="151">
        <f>SUM(H5:H12)</f>
        <v>0</v>
      </c>
      <c r="J13" s="151">
        <f>SUM(J5:J12)</f>
        <v>55000</v>
      </c>
      <c r="K13" s="151">
        <f>SUM(K5:K12)</f>
        <v>0</v>
      </c>
      <c r="M13" s="151">
        <f>SUM(M5:M12)</f>
        <v>12000</v>
      </c>
      <c r="N13" s="151">
        <f>SUM(N5:N12)</f>
        <v>0</v>
      </c>
    </row>
    <row r="14" spans="1:21" x14ac:dyDescent="0.3">
      <c r="A14" s="155">
        <f>A13-B13</f>
        <v>22887.452500000014</v>
      </c>
      <c r="B14" s="144" t="s">
        <v>16</v>
      </c>
      <c r="D14" s="156">
        <f>D13-E13</f>
        <v>9252</v>
      </c>
      <c r="E14" s="144" t="s">
        <v>16</v>
      </c>
      <c r="G14" s="156">
        <f>+G13</f>
        <v>788700</v>
      </c>
      <c r="J14" s="156">
        <f>+J13</f>
        <v>55000</v>
      </c>
      <c r="M14" s="156">
        <f>+M13</f>
        <v>12000</v>
      </c>
    </row>
    <row r="15" spans="1:21" s="143" customFormat="1" x14ac:dyDescent="0.3">
      <c r="A15" s="144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</row>
    <row r="17" spans="1:14" x14ac:dyDescent="0.3">
      <c r="A17" s="142" t="str">
        <f>+'[1]Libro Diario 1'!$B$10</f>
        <v>EQUIPOS DE COMPUTACION</v>
      </c>
      <c r="B17" s="142"/>
      <c r="D17" s="142" t="str">
        <f>+'[1]Libro Diario 1'!$B$11</f>
        <v>DOCUMENTOS POR PAGAR</v>
      </c>
      <c r="E17" s="142"/>
      <c r="G17" s="142" t="str">
        <f>+'[1]Libro Diario 1'!$B$12</f>
        <v>DEUDAS POR PAGAR</v>
      </c>
      <c r="H17" s="142"/>
      <c r="J17" s="142" t="str">
        <f>+'[1]Libro Diario 1'!$B$13</f>
        <v>CAPITAL SOCIAL</v>
      </c>
      <c r="K17" s="142"/>
      <c r="M17" s="142" t="str">
        <f>+'[1]Libro Diario 1'!$B$16</f>
        <v>GASTOS LEGALES, NOTARIALES Y JUDICIALES</v>
      </c>
      <c r="N17" s="142"/>
    </row>
    <row r="18" spans="1:14" x14ac:dyDescent="0.3">
      <c r="A18" s="141">
        <f>+'[1]Libro Diario 1'!$C$10</f>
        <v>45000</v>
      </c>
      <c r="D18" s="141"/>
      <c r="E18" s="13">
        <f>+'[1]Libro Diario 1'!$D$11</f>
        <v>35000</v>
      </c>
      <c r="G18" s="141"/>
      <c r="H18" s="13">
        <f>+'[1]Libro Diario 1'!$D$12</f>
        <v>350000</v>
      </c>
      <c r="J18" s="141"/>
      <c r="K18" s="13">
        <f>+'[1]Libro Diario 1'!$D$13</f>
        <v>166000</v>
      </c>
      <c r="M18" s="141">
        <f>+'[1]Libro Diario 1'!$C$16</f>
        <v>3045</v>
      </c>
    </row>
    <row r="19" spans="1:14" x14ac:dyDescent="0.3">
      <c r="A19" s="140"/>
      <c r="D19" s="140"/>
      <c r="G19" s="140"/>
      <c r="J19" s="140"/>
      <c r="M19" s="140"/>
    </row>
    <row r="20" spans="1:14" x14ac:dyDescent="0.3">
      <c r="A20" s="140"/>
      <c r="D20" s="140"/>
      <c r="G20" s="140"/>
      <c r="J20" s="140"/>
      <c r="M20" s="140"/>
    </row>
    <row r="21" spans="1:14" x14ac:dyDescent="0.3">
      <c r="A21" s="140"/>
      <c r="D21" s="140"/>
      <c r="G21" s="140"/>
      <c r="J21" s="140"/>
      <c r="M21" s="140"/>
    </row>
    <row r="22" spans="1:14" x14ac:dyDescent="0.3">
      <c r="A22" s="140"/>
      <c r="D22" s="140"/>
      <c r="G22" s="140"/>
      <c r="J22" s="140"/>
      <c r="M22" s="140"/>
    </row>
    <row r="23" spans="1:14" x14ac:dyDescent="0.3">
      <c r="A23" s="140"/>
      <c r="D23" s="140"/>
      <c r="G23" s="140"/>
      <c r="J23" s="140"/>
      <c r="M23" s="140"/>
    </row>
    <row r="24" spans="1:14" x14ac:dyDescent="0.3">
      <c r="A24" s="140"/>
      <c r="D24" s="140"/>
      <c r="G24" s="140"/>
      <c r="J24" s="140"/>
      <c r="M24" s="140"/>
    </row>
    <row r="25" spans="1:14" x14ac:dyDescent="0.3">
      <c r="A25" s="140"/>
      <c r="D25" s="140"/>
      <c r="G25" s="140"/>
      <c r="J25" s="140"/>
      <c r="M25" s="140"/>
    </row>
    <row r="26" spans="1:14" x14ac:dyDescent="0.3">
      <c r="A26" s="140"/>
      <c r="D26" s="140"/>
      <c r="G26" s="140"/>
      <c r="J26" s="140"/>
      <c r="M26" s="140"/>
    </row>
    <row r="27" spans="1:14" x14ac:dyDescent="0.3">
      <c r="A27" s="151">
        <f>+A18</f>
        <v>45000</v>
      </c>
      <c r="B27" s="150"/>
      <c r="D27" s="151"/>
      <c r="E27" s="150">
        <f>+E18</f>
        <v>35000</v>
      </c>
      <c r="G27" s="151"/>
      <c r="H27" s="150">
        <f>+H18</f>
        <v>350000</v>
      </c>
      <c r="J27" s="151"/>
      <c r="K27" s="150">
        <f>+K18</f>
        <v>166000</v>
      </c>
      <c r="M27" s="151">
        <f>+M18</f>
        <v>3045</v>
      </c>
      <c r="N27" s="150"/>
    </row>
    <row r="28" spans="1:14" x14ac:dyDescent="0.3">
      <c r="A28" s="155">
        <f>A27</f>
        <v>45000</v>
      </c>
      <c r="E28" s="149">
        <f>E27</f>
        <v>35000</v>
      </c>
      <c r="H28" s="149">
        <f>H27</f>
        <v>350000</v>
      </c>
      <c r="K28" s="149">
        <f>K27</f>
        <v>166000</v>
      </c>
      <c r="M28" s="155">
        <f>M27</f>
        <v>3045</v>
      </c>
    </row>
    <row r="30" spans="1:14" x14ac:dyDescent="0.3">
      <c r="A30" s="142" t="str">
        <f>+'[1]Libro Diario 1'!$B$22</f>
        <v>CREDITO FISCAL</v>
      </c>
      <c r="B30" s="142"/>
      <c r="D30" s="142" t="str">
        <f>+'[1]Libro Diario 1'!$B$24</f>
        <v>CUENTAS POR PAGAR</v>
      </c>
      <c r="E30" s="142"/>
      <c r="G30" s="142" t="str">
        <f>+'[1]Libro Diario 1'!$B$34</f>
        <v>DOCUMENTOS POR COBRAR</v>
      </c>
      <c r="H30" s="142"/>
      <c r="J30" s="154" t="str">
        <f>+'[1]Libro Diario 1'!$B$35</f>
        <v>IMPUESTO A LAS TRANSACCIONES</v>
      </c>
      <c r="K30" s="154"/>
      <c r="M30" s="142" t="str">
        <f>+'[1]Libro Diario 1'!$B$36</f>
        <v>VENTAS</v>
      </c>
      <c r="N30" s="142"/>
    </row>
    <row r="31" spans="1:14" x14ac:dyDescent="0.3">
      <c r="A31" s="141">
        <f>+'[1]Libro Diario 1'!$C$17</f>
        <v>455</v>
      </c>
      <c r="D31" s="141"/>
      <c r="E31" s="13">
        <f>+'[1]Libro Diario 1'!$D$24</f>
        <v>32500</v>
      </c>
      <c r="G31" s="141">
        <f>+'[1]Libro Diario 1'!$C$34</f>
        <v>22000</v>
      </c>
      <c r="H31" s="13">
        <f>+'[1]Libro Diario 1'!$D$84</f>
        <v>9100</v>
      </c>
      <c r="J31" s="141">
        <f>+'[1]Libro Diario 1'!$C$35</f>
        <v>1650</v>
      </c>
      <c r="M31" s="141"/>
      <c r="N31" s="13">
        <f>+'[1]Libro Diario 1'!$D$36</f>
        <v>47850</v>
      </c>
    </row>
    <row r="32" spans="1:14" x14ac:dyDescent="0.3">
      <c r="A32" s="140">
        <f>+'[1]Libro Diario 1'!$C$22</f>
        <v>8450</v>
      </c>
      <c r="D32" s="140"/>
      <c r="E32" s="13">
        <f>+'[1]Libro Diario 1'!$D$30</f>
        <v>110000</v>
      </c>
      <c r="G32" s="140">
        <f>+'[1]Libro Diario 1'!$C$53</f>
        <v>35670</v>
      </c>
      <c r="H32" s="13">
        <f>+'[1]Libro Diario 1'!$D$133</f>
        <v>39550</v>
      </c>
      <c r="J32" s="140">
        <f>+'[1]Libro Diario 1'!$C$54</f>
        <v>1845</v>
      </c>
      <c r="M32" s="140"/>
      <c r="N32" s="13">
        <f>+'[1]Libro Diario 1'!$D$55</f>
        <v>53505</v>
      </c>
    </row>
    <row r="33" spans="1:14" x14ac:dyDescent="0.3">
      <c r="A33" s="140">
        <f>+'[1]Libro Diario 1'!$C$28</f>
        <v>26000</v>
      </c>
      <c r="D33" s="140"/>
      <c r="E33" s="13">
        <f>+'[1]Libro Diario 1'!$D$70</f>
        <v>200000</v>
      </c>
      <c r="G33" s="140">
        <f>+'[1]Libro Diario 1'!$C$61</f>
        <v>9100</v>
      </c>
      <c r="J33" s="140">
        <f>+'[1]Libro Diario 1'!$C$62</f>
        <v>975</v>
      </c>
      <c r="M33" s="140"/>
      <c r="N33" s="13">
        <f>+'[1]Libro Diario 1'!$D$63</f>
        <v>28275</v>
      </c>
    </row>
    <row r="34" spans="1:14" x14ac:dyDescent="0.3">
      <c r="A34" s="140">
        <f>+'[1]Libro Diario 1'!$C$42</f>
        <v>123.5</v>
      </c>
      <c r="D34" s="140"/>
      <c r="G34" s="140">
        <f>+'[1]Libro Diario 1'!$C$117</f>
        <v>39550</v>
      </c>
      <c r="J34" s="140">
        <f>+'[1]Libro Diario 1'!$C$110</f>
        <v>12000</v>
      </c>
      <c r="M34" s="140"/>
      <c r="N34" s="13">
        <f>+'[1]Libro Diario 1'!$D$111</f>
        <v>348000</v>
      </c>
    </row>
    <row r="35" spans="1:14" x14ac:dyDescent="0.3">
      <c r="A35" s="140">
        <f>+'[1]Libro Diario 1'!$C$47</f>
        <v>12350</v>
      </c>
      <c r="D35" s="140"/>
      <c r="G35" s="140">
        <f>+'[1]Libro Diario 1'!$C$125</f>
        <v>105072</v>
      </c>
      <c r="J35" s="140">
        <f>+'[1]Libro Diario 1'!$C$118</f>
        <v>3390</v>
      </c>
      <c r="M35" s="140"/>
      <c r="N35" s="13">
        <f>+'[1]Libro Diario 1'!$D$119</f>
        <v>98310</v>
      </c>
    </row>
    <row r="36" spans="1:14" x14ac:dyDescent="0.3">
      <c r="A36" s="140">
        <f>+'[1]Libro Diario 1'!$C$69</f>
        <v>26000</v>
      </c>
      <c r="D36" s="140"/>
      <c r="G36" s="140">
        <f>+'[1]Libro Diario 1'!$C$142</f>
        <v>63360.000000000007</v>
      </c>
      <c r="J36" s="140">
        <f>+'[1]Libro Diario 1'!$C$126</f>
        <v>3940.2</v>
      </c>
      <c r="M36" s="140"/>
      <c r="N36" s="13">
        <f>+'[1]Libro Diario 1'!$D$127</f>
        <v>114265.8</v>
      </c>
    </row>
    <row r="37" spans="1:14" x14ac:dyDescent="0.3">
      <c r="A37" s="140">
        <f>+'[1]Libro Diario 1'!$C$74</f>
        <v>390</v>
      </c>
      <c r="D37" s="140"/>
      <c r="G37" s="140"/>
      <c r="J37" s="140">
        <f>+'[1]Libro Diario 1'!$C$143</f>
        <v>3456</v>
      </c>
      <c r="M37" s="140"/>
      <c r="N37" s="13">
        <f>+'[1]Libro Diario 1'!$D$144</f>
        <v>100224</v>
      </c>
    </row>
    <row r="38" spans="1:14" x14ac:dyDescent="0.3">
      <c r="A38" s="140">
        <f>+'[1]Libro Diario 1'!$C$79</f>
        <v>32500</v>
      </c>
      <c r="D38" s="140"/>
      <c r="G38" s="140"/>
      <c r="J38" s="140">
        <f>+'[1]Libro Diario 1'!$C$150</f>
        <v>3630</v>
      </c>
      <c r="M38" s="140"/>
      <c r="N38" s="13">
        <f>+'[1]Libro Diario 1'!$D$152</f>
        <v>105270</v>
      </c>
    </row>
    <row r="39" spans="1:14" x14ac:dyDescent="0.3">
      <c r="A39" s="140">
        <f>+'[1]Libro Diario 1'!$C$88</f>
        <v>650</v>
      </c>
      <c r="D39" s="31"/>
      <c r="E39" s="152"/>
      <c r="G39" s="140"/>
      <c r="J39" s="151">
        <f>SUM(I31:J38)</f>
        <v>30886.2</v>
      </c>
      <c r="K39" s="150"/>
      <c r="M39" s="140"/>
    </row>
    <row r="40" spans="1:14" x14ac:dyDescent="0.3">
      <c r="A40" s="140">
        <f>+'[1]Libro Diario 1'!$C$137</f>
        <v>1300</v>
      </c>
      <c r="D40" s="31"/>
      <c r="E40" s="152"/>
      <c r="G40" s="140"/>
      <c r="J40" s="156">
        <f>+J39</f>
        <v>30886.2</v>
      </c>
      <c r="M40" s="140"/>
    </row>
    <row r="41" spans="1:14" x14ac:dyDescent="0.3">
      <c r="A41" s="13">
        <f>+'[1]Libro Diario 1'!$C$162</f>
        <v>423.28000000000003</v>
      </c>
      <c r="E41" s="152"/>
      <c r="G41" s="140"/>
    </row>
    <row r="42" spans="1:14" x14ac:dyDescent="0.3">
      <c r="A42" s="150">
        <f>SUM(A31:A41)</f>
        <v>108641.78</v>
      </c>
      <c r="B42" s="150"/>
      <c r="D42" s="150"/>
      <c r="E42" s="153">
        <f>E31+E32+E33</f>
        <v>342500</v>
      </c>
      <c r="G42" s="153">
        <f>SUM(G31:G41)</f>
        <v>274752</v>
      </c>
      <c r="H42" s="150">
        <f>SUM(H31:H41)</f>
        <v>48650</v>
      </c>
      <c r="M42" s="150"/>
      <c r="N42" s="150">
        <f>SUM(N31:N38)</f>
        <v>895699.8</v>
      </c>
    </row>
    <row r="43" spans="1:14" x14ac:dyDescent="0.3">
      <c r="A43" s="155">
        <f>A42</f>
        <v>108641.78</v>
      </c>
      <c r="E43" s="149">
        <f>+E42</f>
        <v>342500</v>
      </c>
      <c r="G43" s="157">
        <f>G42-H42</f>
        <v>226102</v>
      </c>
      <c r="N43" s="149">
        <f>N42</f>
        <v>895699.8</v>
      </c>
    </row>
    <row r="44" spans="1:14" x14ac:dyDescent="0.3">
      <c r="N44" s="148"/>
    </row>
    <row r="45" spans="1:14" x14ac:dyDescent="0.3">
      <c r="A45" s="142" t="str">
        <f>+'[1]Libro Diario 1'!$B$37</f>
        <v>DEBITO FISCAL</v>
      </c>
      <c r="B45" s="142"/>
      <c r="D45" s="142" t="str">
        <f>+'[1]Libro Diario 1'!$B$38</f>
        <v>IT POR PAGAR</v>
      </c>
      <c r="E45" s="142"/>
      <c r="G45" s="142" t="str">
        <f>+'[1]Libro Diario 1'!$B$41</f>
        <v>MATERIAL DE ESCRITORIO</v>
      </c>
      <c r="H45" s="142"/>
      <c r="J45" s="142" t="str">
        <f>+'[1]Libro Diario 1'!$B$9</f>
        <v>MUEBLES Y ENSERES</v>
      </c>
      <c r="K45" s="142"/>
      <c r="M45" s="142" t="str">
        <f>+'[1]Libro Diario 1'!$B$87</f>
        <v>SEGURIDAD Y VIGILANCIA</v>
      </c>
      <c r="N45" s="142"/>
    </row>
    <row r="46" spans="1:14" x14ac:dyDescent="0.3">
      <c r="A46" s="141"/>
      <c r="B46" s="13">
        <f>+'[1]Libro Diario 1'!$D$37</f>
        <v>7150</v>
      </c>
      <c r="D46" s="141"/>
      <c r="E46" s="13">
        <f>+'[1]Libro Diario 1'!$D$38</f>
        <v>1650</v>
      </c>
      <c r="G46" s="141">
        <f>+'[1]Libro Diario 1'!$C$41</f>
        <v>826.5</v>
      </c>
      <c r="J46" s="141">
        <f>+'[1]Libro Diario 1'!$C$9</f>
        <v>12000</v>
      </c>
      <c r="M46" s="141">
        <f>+'[1]Libro Diario 1'!$C$87</f>
        <v>4350</v>
      </c>
    </row>
    <row r="47" spans="1:14" x14ac:dyDescent="0.3">
      <c r="A47" s="140"/>
      <c r="B47" s="13">
        <f>+'[1]Libro Diario 1'!$D$56</f>
        <v>7995</v>
      </c>
      <c r="D47" s="140"/>
      <c r="E47" s="13">
        <f>+'[1]Libro Diario 1'!$D$57</f>
        <v>1845</v>
      </c>
      <c r="G47" s="140"/>
      <c r="J47" s="140">
        <f>+'[1]Libro Diario 1'!$C$73</f>
        <v>2610</v>
      </c>
      <c r="M47" s="140"/>
    </row>
    <row r="48" spans="1:14" x14ac:dyDescent="0.3">
      <c r="A48" s="140"/>
      <c r="B48" s="13">
        <f>+'[1]Libro Diario 1'!$D$64</f>
        <v>4225</v>
      </c>
      <c r="D48" s="140"/>
      <c r="E48" s="13">
        <f>+'[1]Libro Diario 1'!$D$65</f>
        <v>975</v>
      </c>
      <c r="G48" s="140"/>
      <c r="J48" s="140"/>
      <c r="M48" s="140"/>
    </row>
    <row r="49" spans="1:14" x14ac:dyDescent="0.3">
      <c r="A49" s="140"/>
      <c r="B49" s="13">
        <f>+'[1]Libro Diario 1'!$D$112</f>
        <v>52000</v>
      </c>
      <c r="D49" s="140"/>
      <c r="E49" s="13">
        <f>+'[1]Libro Diario 1'!$D$113</f>
        <v>12000</v>
      </c>
      <c r="G49" s="140"/>
      <c r="J49" s="140"/>
      <c r="M49" s="140"/>
    </row>
    <row r="50" spans="1:14" x14ac:dyDescent="0.3">
      <c r="A50" s="140"/>
      <c r="B50" s="13">
        <f>+'[1]Libro Diario 1'!$D$120</f>
        <v>14690</v>
      </c>
      <c r="D50" s="140"/>
      <c r="E50" s="13">
        <f>+'[1]Libro Diario 1'!$D$121</f>
        <v>3390</v>
      </c>
      <c r="G50" s="140"/>
      <c r="J50" s="140"/>
      <c r="M50" s="140"/>
    </row>
    <row r="51" spans="1:14" x14ac:dyDescent="0.3">
      <c r="A51" s="140"/>
      <c r="B51" s="13">
        <f>+'[1]Libro Diario 1'!$D$128</f>
        <v>17074.2</v>
      </c>
      <c r="D51" s="140"/>
      <c r="E51" s="13">
        <f>+'[1]Libro Diario 1'!$D$129</f>
        <v>3940.2</v>
      </c>
      <c r="G51" s="140"/>
      <c r="J51" s="140"/>
      <c r="M51" s="140"/>
    </row>
    <row r="52" spans="1:14" x14ac:dyDescent="0.3">
      <c r="A52" s="140"/>
      <c r="B52" s="13">
        <f>+'[1]Libro Diario 1'!$D$145</f>
        <v>14976</v>
      </c>
      <c r="D52" s="140"/>
      <c r="E52" s="13">
        <f>+'[1]Libro Diario 1'!$D$146</f>
        <v>3456</v>
      </c>
      <c r="G52" s="140"/>
      <c r="J52" s="140"/>
      <c r="M52" s="140"/>
    </row>
    <row r="53" spans="1:14" x14ac:dyDescent="0.3">
      <c r="A53" s="140"/>
      <c r="B53" s="13">
        <f>+'[1]Libro Diario 1'!$D$153</f>
        <v>15730</v>
      </c>
      <c r="D53" s="140"/>
      <c r="E53" s="13">
        <f>+'[1]Libro Diario 1'!$D$154</f>
        <v>3630</v>
      </c>
      <c r="G53" s="140"/>
      <c r="J53" s="140"/>
      <c r="M53" s="140"/>
    </row>
    <row r="54" spans="1:14" x14ac:dyDescent="0.3">
      <c r="A54" s="140"/>
      <c r="D54" s="140"/>
      <c r="G54" s="140"/>
      <c r="J54" s="140"/>
      <c r="M54" s="140"/>
    </row>
    <row r="55" spans="1:14" x14ac:dyDescent="0.3">
      <c r="A55" s="151"/>
      <c r="B55" s="150">
        <f>SUM(B46:B54)</f>
        <v>133840.20000000001</v>
      </c>
      <c r="D55" s="151">
        <v>0</v>
      </c>
      <c r="E55" s="150">
        <f>SUM(E46:E54)</f>
        <v>30886.2</v>
      </c>
      <c r="G55" s="151">
        <f>+G46</f>
        <v>826.5</v>
      </c>
      <c r="H55" s="150"/>
      <c r="J55" s="151">
        <f>J46+J47</f>
        <v>14610</v>
      </c>
      <c r="K55" s="150"/>
      <c r="M55" s="151">
        <f>+M46</f>
        <v>4350</v>
      </c>
      <c r="N55" s="150"/>
    </row>
    <row r="56" spans="1:14" x14ac:dyDescent="0.3">
      <c r="B56" s="149">
        <f>+B55</f>
        <v>133840.20000000001</v>
      </c>
      <c r="E56" s="149">
        <f>+E55</f>
        <v>30886.2</v>
      </c>
      <c r="G56" s="155">
        <f>G55</f>
        <v>826.5</v>
      </c>
      <c r="J56" s="155">
        <f>+J55</f>
        <v>14610</v>
      </c>
      <c r="M56" s="155">
        <f>+M55</f>
        <v>4350</v>
      </c>
    </row>
    <row r="58" spans="1:14" x14ac:dyDescent="0.3">
      <c r="A58" s="142" t="str">
        <f>+'[1]Libro Diario 1'!$B$92</f>
        <v>COMISIONES</v>
      </c>
      <c r="B58" s="142"/>
      <c r="D58" s="154" t="str">
        <f>+'[1]Libro Diario 1'!$B$94</f>
        <v>APORTE LABORAL GESTORA POR PAGAR</v>
      </c>
      <c r="E58" s="154"/>
      <c r="G58" s="146" t="str">
        <f>+'[1]Libro Diario 1'!$B$97</f>
        <v>APORTES PATRONALES GESTORA</v>
      </c>
      <c r="H58" s="146"/>
      <c r="J58" s="142" t="str">
        <f>+'[1]Libro Diario 1'!$B$98</f>
        <v>CAJA DE SALUD</v>
      </c>
      <c r="K58" s="142"/>
      <c r="M58" s="142" t="str">
        <f>+'[1]Libro Diario 1'!$B$99</f>
        <v>AGUINALDOS</v>
      </c>
      <c r="N58" s="142"/>
    </row>
    <row r="59" spans="1:14" x14ac:dyDescent="0.3">
      <c r="A59" s="141">
        <f>+'[1]Libro Diario 1'!$C$92</f>
        <v>426550</v>
      </c>
      <c r="D59" s="141"/>
      <c r="E59" s="13">
        <f>+'[1]Libro Diario 1'!$D$94</f>
        <v>54214.504999999997</v>
      </c>
      <c r="G59" s="141">
        <f>+'[1]Libro Diario 1'!$C$97</f>
        <v>28621.505000000001</v>
      </c>
      <c r="J59" s="141">
        <f>+'[1]Libro Diario 1'!$C$98</f>
        <v>42655</v>
      </c>
      <c r="M59" s="141">
        <f>+'[1]Libro Diario 1'!$C$99</f>
        <v>35454.83</v>
      </c>
    </row>
    <row r="60" spans="1:14" x14ac:dyDescent="0.3">
      <c r="A60" s="140"/>
      <c r="D60" s="140"/>
      <c r="E60" s="13">
        <f>+'[1]Libro Diario 1'!$D$168</f>
        <v>37967.947500000002</v>
      </c>
      <c r="G60" s="140">
        <f>+'[1]Libro Diario 1'!$C$171</f>
        <v>20044.447500000002</v>
      </c>
      <c r="J60" s="140">
        <f>+'[1]Libro Diario 1'!$C$172</f>
        <v>29872.5</v>
      </c>
      <c r="M60" s="140">
        <f>+'[1]Libro Diario 1'!$C$173</f>
        <v>24893.75</v>
      </c>
    </row>
    <row r="61" spans="1:14" x14ac:dyDescent="0.3">
      <c r="A61" s="140"/>
      <c r="D61" s="140"/>
      <c r="G61" s="140"/>
      <c r="J61" s="140"/>
      <c r="M61" s="140"/>
    </row>
    <row r="62" spans="1:14" x14ac:dyDescent="0.3">
      <c r="A62" s="140"/>
      <c r="D62" s="140"/>
      <c r="G62" s="140"/>
      <c r="J62" s="140"/>
      <c r="M62" s="140"/>
    </row>
    <row r="63" spans="1:14" x14ac:dyDescent="0.3">
      <c r="A63" s="140"/>
      <c r="D63" s="140"/>
      <c r="G63" s="140"/>
      <c r="J63" s="140"/>
      <c r="M63" s="140"/>
    </row>
    <row r="64" spans="1:14" x14ac:dyDescent="0.3">
      <c r="A64" s="140"/>
      <c r="D64" s="140"/>
      <c r="G64" s="140"/>
      <c r="J64" s="140"/>
      <c r="M64" s="140"/>
    </row>
    <row r="65" spans="1:14" x14ac:dyDescent="0.3">
      <c r="A65" s="140"/>
      <c r="D65" s="140"/>
      <c r="G65" s="140"/>
      <c r="J65" s="140"/>
      <c r="M65" s="140"/>
    </row>
    <row r="66" spans="1:14" x14ac:dyDescent="0.3">
      <c r="A66" s="140"/>
      <c r="D66" s="140"/>
      <c r="G66" s="140"/>
      <c r="J66" s="140"/>
      <c r="M66" s="140"/>
    </row>
    <row r="67" spans="1:14" x14ac:dyDescent="0.3">
      <c r="A67" s="140"/>
      <c r="D67" s="140"/>
      <c r="G67" s="140"/>
      <c r="J67" s="140"/>
      <c r="M67" s="140"/>
    </row>
    <row r="68" spans="1:14" x14ac:dyDescent="0.3">
      <c r="A68" s="151">
        <f>+A59</f>
        <v>426550</v>
      </c>
      <c r="B68" s="150"/>
      <c r="D68" s="151"/>
      <c r="E68" s="150">
        <f>E59+E60</f>
        <v>92182.452499999999</v>
      </c>
      <c r="G68" s="151">
        <f>G60+G59</f>
        <v>48665.952499999999</v>
      </c>
      <c r="H68" s="150"/>
      <c r="J68" s="151">
        <f>J59+J60</f>
        <v>72527.5</v>
      </c>
      <c r="K68" s="150"/>
      <c r="M68" s="151">
        <f>M59+M60</f>
        <v>60348.58</v>
      </c>
      <c r="N68" s="150"/>
    </row>
    <row r="69" spans="1:14" x14ac:dyDescent="0.3">
      <c r="A69" s="155">
        <f>A68</f>
        <v>426550</v>
      </c>
      <c r="E69" s="149">
        <f>+E68</f>
        <v>92182.452499999999</v>
      </c>
      <c r="G69" s="155">
        <f>+G68</f>
        <v>48665.952499999999</v>
      </c>
      <c r="J69" s="155">
        <f>+J68</f>
        <v>72527.5</v>
      </c>
      <c r="M69" s="155">
        <f>+M68</f>
        <v>60348.58</v>
      </c>
    </row>
    <row r="72" spans="1:14" x14ac:dyDescent="0.3">
      <c r="A72" s="142" t="str">
        <f>+'[1]Libro Diario 1'!$B$100</f>
        <v>INDEMNIZACION</v>
      </c>
      <c r="B72" s="142"/>
      <c r="D72" s="154" t="str">
        <f>+'[1]Libro Diario 1'!$B$175</f>
        <v>PRIMAS</v>
      </c>
      <c r="E72" s="154"/>
      <c r="G72" s="146" t="str">
        <f>+'[1]Libro Diario 1'!$B$102</f>
        <v>APORTES PATRONALES GESTORA POR PAGAR</v>
      </c>
      <c r="H72" s="146"/>
      <c r="J72" s="142" t="str">
        <f>+'[1]Libro Diario 1'!$B$103</f>
        <v>CAJA DE SALUD POR PAGAR</v>
      </c>
      <c r="K72" s="142"/>
      <c r="M72" s="142" t="str">
        <f>+'[1]Libro Diario 1'!$B$104</f>
        <v>AGUINALDO POR PAGAR</v>
      </c>
      <c r="N72" s="142"/>
    </row>
    <row r="73" spans="1:14" x14ac:dyDescent="0.3">
      <c r="A73" s="141">
        <f>+'[1]Libro Diario 1'!$C$100</f>
        <v>35454.83</v>
      </c>
      <c r="D73" s="141">
        <f>+'[1]Libro Diario 1'!$C$101</f>
        <v>35454.83</v>
      </c>
      <c r="E73" s="13">
        <v>0</v>
      </c>
      <c r="G73" s="141">
        <v>0</v>
      </c>
      <c r="H73" s="13">
        <f>+'[1]Libro Diario 1'!$D$102</f>
        <v>28621.505000000001</v>
      </c>
      <c r="J73" s="141">
        <v>0</v>
      </c>
      <c r="K73" s="13">
        <f>+'[1]Libro Diario 1'!$D$103</f>
        <v>42655</v>
      </c>
      <c r="M73" s="141">
        <v>0</v>
      </c>
      <c r="N73" s="13">
        <f>+'[1]Libro Diario 1'!$D$104</f>
        <v>35454.83</v>
      </c>
    </row>
    <row r="74" spans="1:14" x14ac:dyDescent="0.3">
      <c r="A74" s="140">
        <f>+'[1]Libro Diario 1'!$C$174</f>
        <v>24893.75</v>
      </c>
      <c r="D74" s="140">
        <f>+'[1]Libro Diario 1'!$C$175</f>
        <v>24893.75</v>
      </c>
      <c r="E74" s="13">
        <v>0</v>
      </c>
      <c r="G74" s="140">
        <v>0</v>
      </c>
      <c r="H74" s="13">
        <f>+'[1]Libro Diario 1'!$D$176</f>
        <v>20044.447500000002</v>
      </c>
      <c r="J74" s="140">
        <v>0</v>
      </c>
      <c r="K74" s="13">
        <f>+'[1]Libro Diario 1'!$D$177</f>
        <v>29872.5</v>
      </c>
      <c r="M74" s="140">
        <v>0</v>
      </c>
      <c r="N74" s="13">
        <f>+'[1]Libro Diario 1'!$D$178</f>
        <v>24893.75</v>
      </c>
    </row>
    <row r="75" spans="1:14" x14ac:dyDescent="0.3">
      <c r="A75" s="140"/>
      <c r="D75" s="140"/>
      <c r="G75" s="140"/>
      <c r="J75" s="140"/>
      <c r="M75" s="140"/>
    </row>
    <row r="76" spans="1:14" x14ac:dyDescent="0.3">
      <c r="A76" s="140"/>
      <c r="D76" s="140"/>
      <c r="G76" s="140"/>
      <c r="J76" s="140"/>
      <c r="M76" s="140"/>
    </row>
    <row r="77" spans="1:14" x14ac:dyDescent="0.3">
      <c r="A77" s="140"/>
      <c r="D77" s="140"/>
      <c r="G77" s="140"/>
      <c r="J77" s="140"/>
      <c r="M77" s="140"/>
    </row>
    <row r="78" spans="1:14" x14ac:dyDescent="0.3">
      <c r="A78" s="140"/>
      <c r="D78" s="140"/>
      <c r="G78" s="140"/>
      <c r="J78" s="140"/>
      <c r="M78" s="140"/>
    </row>
    <row r="79" spans="1:14" x14ac:dyDescent="0.3">
      <c r="A79" s="140"/>
      <c r="D79" s="140"/>
      <c r="G79" s="140"/>
      <c r="J79" s="140"/>
      <c r="M79" s="140"/>
    </row>
    <row r="80" spans="1:14" x14ac:dyDescent="0.3">
      <c r="A80" s="140"/>
      <c r="D80" s="140"/>
      <c r="G80" s="140"/>
      <c r="J80" s="140"/>
      <c r="M80" s="140"/>
    </row>
    <row r="81" spans="1:14" x14ac:dyDescent="0.3">
      <c r="A81" s="140"/>
      <c r="D81" s="140"/>
      <c r="G81" s="140"/>
      <c r="J81" s="140"/>
      <c r="M81" s="140"/>
    </row>
    <row r="82" spans="1:14" x14ac:dyDescent="0.3">
      <c r="A82" s="151">
        <f>+A73</f>
        <v>35454.83</v>
      </c>
      <c r="B82" s="150"/>
      <c r="D82" s="151">
        <f>D73+D74</f>
        <v>60348.58</v>
      </c>
      <c r="E82" s="150">
        <f>E73+E74</f>
        <v>0</v>
      </c>
      <c r="G82" s="151"/>
      <c r="H82" s="150">
        <f>H73+H74</f>
        <v>48665.952499999999</v>
      </c>
      <c r="J82" s="151"/>
      <c r="K82" s="150">
        <f>K73+K74</f>
        <v>72527.5</v>
      </c>
      <c r="M82" s="151"/>
      <c r="N82" s="150">
        <f>N73+N74</f>
        <v>60348.58</v>
      </c>
    </row>
    <row r="83" spans="1:14" x14ac:dyDescent="0.3">
      <c r="A83" s="155">
        <f>A82</f>
        <v>35454.83</v>
      </c>
      <c r="D83" s="155">
        <f>+D82</f>
        <v>60348.58</v>
      </c>
      <c r="H83" s="149">
        <f>+H82</f>
        <v>48665.952499999999</v>
      </c>
      <c r="K83" s="149">
        <f>+K82</f>
        <v>72527.5</v>
      </c>
      <c r="N83" s="149">
        <f>+N82</f>
        <v>60348.58</v>
      </c>
    </row>
    <row r="86" spans="1:14" x14ac:dyDescent="0.3">
      <c r="A86" s="142" t="str">
        <f>+'[1]Libro Diario 1'!$B$179</f>
        <v>PREVISION PARA INDEMIZACION</v>
      </c>
      <c r="B86" s="142"/>
      <c r="D86" s="154" t="str">
        <f>+'[1]Libro Diario 1'!$B$106</f>
        <v>PRIMAS POR PAGAR</v>
      </c>
      <c r="E86" s="154"/>
      <c r="G86" s="146" t="str">
        <f>+'[1]Libro Diario 1'!$B$136</f>
        <v>PUBLICIDAD EN RADIO Y T.V.</v>
      </c>
      <c r="H86" s="146"/>
      <c r="J86" s="142" t="str">
        <f>+'[1]Libro Diario 1'!$B$161</f>
        <v>ENERGIA ELECTRICA</v>
      </c>
      <c r="K86" s="142"/>
      <c r="M86" s="142" t="str">
        <f>+'[1]Libro Diario 1'!$B$166</f>
        <v>SUELDOS Y SALARIOS</v>
      </c>
      <c r="N86" s="142"/>
    </row>
    <row r="87" spans="1:14" x14ac:dyDescent="0.3">
      <c r="A87" s="141" t="s">
        <v>16</v>
      </c>
      <c r="B87" s="13">
        <f>+'[1]Libro Diario 1'!$D$105</f>
        <v>35454.83</v>
      </c>
      <c r="D87" s="141"/>
      <c r="E87" s="13">
        <f>+'[1]Libro Diario 1'!$D$106</f>
        <v>35454.83</v>
      </c>
      <c r="G87" s="141">
        <f>+'[1]Libro Diario 1'!$C$136</f>
        <v>8700</v>
      </c>
      <c r="J87" s="141">
        <f>+'[1]Libro Diario 1'!$C$161</f>
        <v>2832.72</v>
      </c>
      <c r="M87" s="141">
        <f>+'[1]Libro Diario 1'!$C$166</f>
        <v>298725</v>
      </c>
    </row>
    <row r="88" spans="1:14" x14ac:dyDescent="0.3">
      <c r="A88" s="140"/>
      <c r="B88" s="13">
        <f>+'[1]Libro Diario 1'!$D$179</f>
        <v>24893.75</v>
      </c>
      <c r="D88" s="140"/>
      <c r="E88" s="13">
        <f>+'[1]Libro Diario 1'!$D$180</f>
        <v>24893.75</v>
      </c>
      <c r="G88" s="140" t="s">
        <v>16</v>
      </c>
      <c r="J88" s="140" t="s">
        <v>16</v>
      </c>
      <c r="M88" s="140" t="s">
        <v>16</v>
      </c>
    </row>
    <row r="89" spans="1:14" x14ac:dyDescent="0.3">
      <c r="A89" s="140"/>
      <c r="D89" s="140"/>
      <c r="G89" s="140"/>
      <c r="J89" s="140"/>
      <c r="M89" s="140"/>
    </row>
    <row r="90" spans="1:14" x14ac:dyDescent="0.3">
      <c r="A90" s="140"/>
      <c r="D90" s="140"/>
      <c r="G90" s="140"/>
      <c r="J90" s="140"/>
      <c r="M90" s="140"/>
    </row>
    <row r="91" spans="1:14" x14ac:dyDescent="0.3">
      <c r="A91" s="140"/>
      <c r="D91" s="140"/>
      <c r="G91" s="140"/>
      <c r="J91" s="140"/>
      <c r="M91" s="140"/>
    </row>
    <row r="92" spans="1:14" x14ac:dyDescent="0.3">
      <c r="A92" s="140"/>
      <c r="D92" s="140"/>
      <c r="G92" s="140"/>
      <c r="J92" s="140"/>
      <c r="M92" s="140"/>
    </row>
    <row r="93" spans="1:14" x14ac:dyDescent="0.3">
      <c r="A93" s="140"/>
      <c r="D93" s="140"/>
      <c r="G93" s="140"/>
      <c r="J93" s="140"/>
      <c r="M93" s="140"/>
    </row>
    <row r="94" spans="1:14" x14ac:dyDescent="0.3">
      <c r="A94" s="140"/>
      <c r="D94" s="140"/>
      <c r="G94" s="140"/>
      <c r="J94" s="140"/>
      <c r="M94" s="140"/>
    </row>
    <row r="95" spans="1:14" x14ac:dyDescent="0.3">
      <c r="A95" s="140"/>
      <c r="D95" s="140"/>
      <c r="G95" s="140"/>
      <c r="J95" s="140"/>
      <c r="M95" s="140"/>
    </row>
    <row r="96" spans="1:14" x14ac:dyDescent="0.3">
      <c r="A96" s="151" t="str">
        <f>+A87</f>
        <v xml:space="preserve"> </v>
      </c>
      <c r="B96" s="150">
        <f>+B97</f>
        <v>60348.58</v>
      </c>
      <c r="D96" s="151"/>
      <c r="E96" s="150">
        <f>E87+E88</f>
        <v>60348.58</v>
      </c>
      <c r="G96" s="151">
        <f>+G87</f>
        <v>8700</v>
      </c>
      <c r="H96" s="150"/>
      <c r="J96" s="151">
        <f>+J87</f>
        <v>2832.72</v>
      </c>
      <c r="K96" s="150"/>
      <c r="M96" s="151">
        <f>+M87</f>
        <v>298725</v>
      </c>
      <c r="N96" s="150"/>
    </row>
    <row r="97" spans="2:13" x14ac:dyDescent="0.3">
      <c r="B97" s="149">
        <f>B87+B88</f>
        <v>60348.58</v>
      </c>
      <c r="E97" s="149">
        <f>+E96</f>
        <v>60348.58</v>
      </c>
      <c r="G97" s="155">
        <f>+G96</f>
        <v>8700</v>
      </c>
      <c r="J97" s="155">
        <f>+J96</f>
        <v>2832.72</v>
      </c>
      <c r="M97" s="158">
        <f>+M96</f>
        <v>298725</v>
      </c>
    </row>
  </sheetData>
  <mergeCells count="37">
    <mergeCell ref="A86:B86"/>
    <mergeCell ref="D86:E86"/>
    <mergeCell ref="G86:H86"/>
    <mergeCell ref="J86:K86"/>
    <mergeCell ref="M86:N86"/>
    <mergeCell ref="M58:N58"/>
    <mergeCell ref="A72:B72"/>
    <mergeCell ref="D72:E72"/>
    <mergeCell ref="G72:H72"/>
    <mergeCell ref="J72:K72"/>
    <mergeCell ref="M72:N72"/>
    <mergeCell ref="G30:H30"/>
    <mergeCell ref="J30:K30"/>
    <mergeCell ref="A58:B58"/>
    <mergeCell ref="D58:E58"/>
    <mergeCell ref="G58:H58"/>
    <mergeCell ref="J58:K58"/>
    <mergeCell ref="G4:H4"/>
    <mergeCell ref="J4:K4"/>
    <mergeCell ref="M30:N30"/>
    <mergeCell ref="A45:B45"/>
    <mergeCell ref="D45:E45"/>
    <mergeCell ref="G45:H45"/>
    <mergeCell ref="J45:K45"/>
    <mergeCell ref="M45:N45"/>
    <mergeCell ref="A30:B30"/>
    <mergeCell ref="D30:E30"/>
    <mergeCell ref="A4:B4"/>
    <mergeCell ref="O4:P4"/>
    <mergeCell ref="R4:S4"/>
    <mergeCell ref="M4:N4"/>
    <mergeCell ref="A17:B17"/>
    <mergeCell ref="D17:E17"/>
    <mergeCell ref="G17:H17"/>
    <mergeCell ref="J17:K17"/>
    <mergeCell ref="M17:N17"/>
    <mergeCell ref="D4:E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2220E-D6F0-456F-9AA3-0AD2CA370971}">
  <dimension ref="A9:AF45"/>
  <sheetViews>
    <sheetView showGridLines="0" topLeftCell="C18" zoomScaleNormal="100" workbookViewId="0">
      <selection activeCell="S26" sqref="S26"/>
    </sheetView>
  </sheetViews>
  <sheetFormatPr baseColWidth="10" defaultRowHeight="14.4" x14ac:dyDescent="0.3"/>
  <cols>
    <col min="1" max="1" width="7" customWidth="1"/>
    <col min="2" max="2" width="14.109375" hidden="1" customWidth="1"/>
    <col min="4" max="4" width="10.109375" customWidth="1"/>
    <col min="5" max="5" width="8.5546875" customWidth="1"/>
    <col min="6" max="6" width="13.44140625" hidden="1" customWidth="1"/>
    <col min="7" max="7" width="14" hidden="1" customWidth="1"/>
    <col min="8" max="8" width="9.109375" hidden="1" customWidth="1"/>
    <col min="9" max="9" width="12.33203125" hidden="1" customWidth="1"/>
    <col min="10" max="10" width="13.88671875" hidden="1" customWidth="1"/>
    <col min="11" max="11" width="10.88671875" hidden="1" customWidth="1"/>
    <col min="12" max="12" width="13.44140625" hidden="1" customWidth="1"/>
    <col min="13" max="13" width="0" hidden="1" customWidth="1"/>
    <col min="14" max="15" width="9" hidden="1" customWidth="1"/>
    <col min="16" max="16" width="10.33203125" hidden="1" customWidth="1"/>
    <col min="17" max="17" width="9.33203125" hidden="1" customWidth="1"/>
    <col min="18" max="18" width="9.5546875" hidden="1" customWidth="1"/>
    <col min="19" max="20" width="15.109375" customWidth="1"/>
    <col min="21" max="24" width="0" hidden="1" customWidth="1"/>
    <col min="25" max="25" width="14.88671875" customWidth="1"/>
    <col min="26" max="28" width="16.5546875" customWidth="1"/>
  </cols>
  <sheetData>
    <row r="9" spans="1:28" ht="15.6" x14ac:dyDescent="0.3">
      <c r="A9" s="32" t="s">
        <v>129</v>
      </c>
      <c r="B9" s="35"/>
      <c r="C9" s="35"/>
      <c r="D9" s="35"/>
      <c r="E9" s="34"/>
      <c r="G9" s="34"/>
      <c r="H9" s="34"/>
      <c r="I9" s="34"/>
      <c r="J9" s="34"/>
      <c r="K9" s="94"/>
    </row>
    <row r="10" spans="1:28" ht="15.6" x14ac:dyDescent="0.3">
      <c r="A10" s="32" t="s">
        <v>128</v>
      </c>
      <c r="B10" s="35"/>
      <c r="C10" s="35"/>
      <c r="D10" s="35"/>
      <c r="E10" s="34"/>
      <c r="F10" s="34"/>
      <c r="G10" s="34"/>
      <c r="H10" s="34"/>
      <c r="I10" s="34"/>
      <c r="J10" s="34"/>
      <c r="K10" s="94"/>
    </row>
    <row r="11" spans="1:28" ht="15.6" x14ac:dyDescent="0.3">
      <c r="A11" s="32" t="s">
        <v>127</v>
      </c>
      <c r="E11" s="100"/>
      <c r="F11" s="100"/>
      <c r="H11" s="92"/>
    </row>
    <row r="12" spans="1:28" ht="15.6" x14ac:dyDescent="0.3">
      <c r="A12" s="32" t="s">
        <v>126</v>
      </c>
      <c r="E12" s="93"/>
      <c r="H12" s="92"/>
    </row>
    <row r="13" spans="1:28" ht="15.6" x14ac:dyDescent="0.3">
      <c r="A13" s="32" t="s">
        <v>125</v>
      </c>
      <c r="E13" s="100"/>
      <c r="F13" s="100"/>
      <c r="H13" s="92"/>
    </row>
    <row r="14" spans="1:28" ht="17.399999999999999" x14ac:dyDescent="0.3">
      <c r="A14" s="101" t="s">
        <v>124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</row>
    <row r="15" spans="1:28" ht="17.399999999999999" x14ac:dyDescent="0.3">
      <c r="A15" s="101" t="s">
        <v>123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91"/>
      <c r="AA15" s="91"/>
      <c r="AB15" s="91"/>
    </row>
    <row r="16" spans="1:28" ht="15.6" x14ac:dyDescent="0.3">
      <c r="A16" s="102" t="s">
        <v>2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90"/>
      <c r="AA16" s="90"/>
      <c r="AB16" s="90"/>
    </row>
    <row r="17" spans="1:32" ht="15.6" x14ac:dyDescent="0.3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</row>
    <row r="18" spans="1:32" ht="15.6" x14ac:dyDescent="0.3">
      <c r="A18" s="32" t="s">
        <v>122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</row>
    <row r="19" spans="1:32" ht="16.2" thickBot="1" x14ac:dyDescent="0.35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4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 spans="1:32" s="78" customFormat="1" ht="13.5" customHeight="1" thickBot="1" x14ac:dyDescent="0.35">
      <c r="A20" s="103" t="s">
        <v>121</v>
      </c>
      <c r="B20" s="105" t="s">
        <v>120</v>
      </c>
      <c r="C20" s="103" t="s">
        <v>119</v>
      </c>
      <c r="D20" s="107"/>
      <c r="E20" s="108"/>
      <c r="F20" s="107" t="s">
        <v>118</v>
      </c>
      <c r="G20" s="111" t="s">
        <v>117</v>
      </c>
      <c r="H20" s="111" t="s">
        <v>116</v>
      </c>
      <c r="I20" s="111" t="s">
        <v>115</v>
      </c>
      <c r="J20" s="111" t="s">
        <v>114</v>
      </c>
      <c r="K20" s="105" t="s">
        <v>113</v>
      </c>
      <c r="L20" s="111" t="s">
        <v>112</v>
      </c>
      <c r="M20" s="111" t="s">
        <v>111</v>
      </c>
      <c r="N20" s="115" t="s">
        <v>110</v>
      </c>
      <c r="O20" s="116"/>
      <c r="P20" s="107" t="s">
        <v>95</v>
      </c>
      <c r="Q20" s="107"/>
      <c r="R20" s="107"/>
      <c r="S20" s="111" t="s">
        <v>108</v>
      </c>
      <c r="T20" s="117" t="s">
        <v>109</v>
      </c>
      <c r="U20" s="117" t="s">
        <v>108</v>
      </c>
      <c r="V20" s="117" t="s">
        <v>108</v>
      </c>
      <c r="W20" s="117" t="s">
        <v>108</v>
      </c>
      <c r="X20" s="117" t="s">
        <v>107</v>
      </c>
      <c r="Y20" s="117" t="s">
        <v>106</v>
      </c>
      <c r="Z20" s="113" t="s">
        <v>105</v>
      </c>
      <c r="AA20" s="113" t="s">
        <v>104</v>
      </c>
      <c r="AB20" s="113" t="s">
        <v>72</v>
      </c>
    </row>
    <row r="21" spans="1:32" s="78" customFormat="1" ht="13.8" x14ac:dyDescent="0.3">
      <c r="A21" s="104"/>
      <c r="B21" s="106"/>
      <c r="C21" s="104"/>
      <c r="D21" s="109"/>
      <c r="E21" s="110"/>
      <c r="F21" s="109"/>
      <c r="G21" s="112"/>
      <c r="H21" s="130"/>
      <c r="I21" s="112"/>
      <c r="J21" s="119"/>
      <c r="K21" s="131"/>
      <c r="L21" s="112"/>
      <c r="M21" s="119"/>
      <c r="N21" s="88"/>
      <c r="O21" s="86"/>
      <c r="P21" s="89"/>
      <c r="Q21" s="89"/>
      <c r="R21" s="87"/>
      <c r="S21" s="112"/>
      <c r="T21" s="118"/>
      <c r="U21" s="118"/>
      <c r="V21" s="118"/>
      <c r="W21" s="118"/>
      <c r="X21" s="129"/>
      <c r="Y21" s="129"/>
      <c r="Z21" s="114"/>
      <c r="AA21" s="114"/>
      <c r="AB21" s="114"/>
    </row>
    <row r="22" spans="1:32" s="78" customFormat="1" ht="13.8" x14ac:dyDescent="0.3">
      <c r="A22" s="104"/>
      <c r="B22" s="106"/>
      <c r="C22" s="104"/>
      <c r="D22" s="109"/>
      <c r="E22" s="110"/>
      <c r="F22" s="109"/>
      <c r="G22" s="112"/>
      <c r="H22" s="130"/>
      <c r="I22" s="112"/>
      <c r="J22" s="119"/>
      <c r="K22" s="131"/>
      <c r="L22" s="112"/>
      <c r="M22" s="119"/>
      <c r="N22" s="85"/>
      <c r="O22" s="83" t="s">
        <v>103</v>
      </c>
      <c r="P22" s="85" t="s">
        <v>102</v>
      </c>
      <c r="Q22" s="85" t="s">
        <v>101</v>
      </c>
      <c r="R22" s="84" t="s">
        <v>100</v>
      </c>
      <c r="S22" s="112"/>
      <c r="T22" s="118"/>
      <c r="U22" s="118"/>
      <c r="V22" s="118"/>
      <c r="W22" s="118"/>
      <c r="X22" s="129"/>
      <c r="Y22" s="129"/>
      <c r="Z22" s="114"/>
      <c r="AA22" s="114"/>
      <c r="AB22" s="114"/>
    </row>
    <row r="23" spans="1:32" s="78" customFormat="1" thickBot="1" x14ac:dyDescent="0.35">
      <c r="A23" s="104"/>
      <c r="B23" s="106"/>
      <c r="C23" s="104"/>
      <c r="D23" s="109"/>
      <c r="E23" s="110"/>
      <c r="F23" s="109"/>
      <c r="G23" s="112"/>
      <c r="H23" s="130"/>
      <c r="I23" s="112"/>
      <c r="J23" s="119"/>
      <c r="K23" s="131"/>
      <c r="L23" s="112"/>
      <c r="M23" s="119"/>
      <c r="N23" s="85" t="s">
        <v>99</v>
      </c>
      <c r="O23" s="83" t="s">
        <v>98</v>
      </c>
      <c r="P23" s="85" t="s">
        <v>97</v>
      </c>
      <c r="Q23" s="85" t="s">
        <v>96</v>
      </c>
      <c r="R23" s="84" t="s">
        <v>95</v>
      </c>
      <c r="S23" s="83"/>
      <c r="T23" s="82">
        <v>6.7100000000000007E-2</v>
      </c>
      <c r="U23" s="81" t="s">
        <v>94</v>
      </c>
      <c r="V23" s="81" t="s">
        <v>94</v>
      </c>
      <c r="W23" s="81" t="s">
        <v>94</v>
      </c>
      <c r="X23" s="81" t="s">
        <v>93</v>
      </c>
      <c r="Y23" s="80">
        <v>0.1</v>
      </c>
      <c r="Z23" s="79">
        <f>1/12</f>
        <v>8.3333333333333329E-2</v>
      </c>
      <c r="AA23" s="79">
        <f>1/12</f>
        <v>8.3333333333333329E-2</v>
      </c>
      <c r="AB23" s="79">
        <f>1/12</f>
        <v>8.3333333333333329E-2</v>
      </c>
    </row>
    <row r="24" spans="1:32" ht="15.6" x14ac:dyDescent="0.3">
      <c r="A24" s="77"/>
      <c r="B24" s="76"/>
      <c r="C24" s="120"/>
      <c r="D24" s="121"/>
      <c r="E24" s="122"/>
      <c r="F24" s="76"/>
      <c r="G24" s="76"/>
      <c r="H24" s="76"/>
      <c r="I24" s="76"/>
      <c r="J24" s="76"/>
      <c r="K24" s="75"/>
      <c r="L24" s="74"/>
      <c r="M24" s="74"/>
      <c r="N24" s="74"/>
      <c r="O24" s="74"/>
      <c r="P24" s="74"/>
      <c r="Q24" s="74"/>
      <c r="R24" s="74"/>
      <c r="S24" s="74"/>
      <c r="T24" s="73"/>
      <c r="U24" s="73"/>
      <c r="V24" s="72"/>
      <c r="W24" s="72"/>
      <c r="X24" s="72"/>
      <c r="Y24" s="72"/>
      <c r="Z24" s="71"/>
      <c r="AA24" s="71"/>
      <c r="AB24" s="71"/>
    </row>
    <row r="25" spans="1:32" ht="24.9" customHeight="1" x14ac:dyDescent="0.3">
      <c r="A25" s="70">
        <v>1</v>
      </c>
      <c r="B25" s="62"/>
      <c r="C25" s="123" t="s">
        <v>92</v>
      </c>
      <c r="D25" s="124"/>
      <c r="E25" s="125"/>
      <c r="F25" s="62"/>
      <c r="G25" s="68"/>
      <c r="H25" s="67"/>
      <c r="I25" s="69"/>
      <c r="J25" s="68"/>
      <c r="K25" s="67">
        <v>31</v>
      </c>
      <c r="L25" s="66">
        <v>16000</v>
      </c>
      <c r="M25" s="51">
        <v>0</v>
      </c>
      <c r="N25" s="66"/>
      <c r="O25" s="66"/>
      <c r="P25" s="66"/>
      <c r="Q25" s="66"/>
      <c r="R25" s="66"/>
      <c r="S25" s="51">
        <v>298725</v>
      </c>
      <c r="T25" s="57">
        <f>S25*T23</f>
        <v>20044.447500000002</v>
      </c>
      <c r="U25" s="57"/>
      <c r="V25" s="57"/>
      <c r="W25" s="57"/>
      <c r="X25" s="57"/>
      <c r="Y25" s="57">
        <f>S25*Y23</f>
        <v>29872.5</v>
      </c>
      <c r="Z25" s="56">
        <f>S25/12</f>
        <v>24893.75</v>
      </c>
      <c r="AA25" s="56">
        <f>+Z25</f>
        <v>24893.75</v>
      </c>
      <c r="AB25" s="56">
        <f>+AA25</f>
        <v>24893.75</v>
      </c>
    </row>
    <row r="26" spans="1:32" ht="24.9" customHeight="1" x14ac:dyDescent="0.3">
      <c r="A26" s="64"/>
      <c r="B26" s="63"/>
      <c r="C26" s="126"/>
      <c r="D26" s="127"/>
      <c r="E26" s="128"/>
      <c r="F26" s="62"/>
      <c r="G26" s="60"/>
      <c r="H26" s="59"/>
      <c r="I26" s="61"/>
      <c r="J26" s="60"/>
      <c r="K26" s="59"/>
      <c r="L26" s="58"/>
      <c r="M26" s="51"/>
      <c r="N26" s="58"/>
      <c r="O26" s="58"/>
      <c r="P26" s="58"/>
      <c r="Q26" s="58"/>
      <c r="R26" s="58"/>
      <c r="S26" s="51"/>
      <c r="T26" s="57"/>
      <c r="U26" s="57"/>
      <c r="V26" s="57"/>
      <c r="W26" s="57"/>
      <c r="X26" s="57"/>
      <c r="Y26" s="57"/>
      <c r="Z26" s="56"/>
      <c r="AA26" s="56"/>
      <c r="AB26" s="56"/>
    </row>
    <row r="27" spans="1:32" ht="24.9" hidden="1" customHeight="1" x14ac:dyDescent="0.3">
      <c r="A27" s="64"/>
      <c r="B27" s="63"/>
      <c r="C27" s="126"/>
      <c r="D27" s="127"/>
      <c r="E27" s="128"/>
      <c r="F27" s="62"/>
      <c r="G27" s="60"/>
      <c r="H27" s="59"/>
      <c r="I27" s="61"/>
      <c r="J27" s="60"/>
      <c r="K27" s="59"/>
      <c r="L27" s="58"/>
      <c r="M27" s="51"/>
      <c r="N27" s="58"/>
      <c r="O27" s="58"/>
      <c r="P27" s="58"/>
      <c r="Q27" s="58"/>
      <c r="R27" s="58"/>
      <c r="S27" s="51"/>
      <c r="T27" s="57"/>
      <c r="U27" s="57"/>
      <c r="V27" s="57"/>
      <c r="W27" s="57"/>
      <c r="X27" s="57"/>
      <c r="Y27" s="57"/>
      <c r="Z27" s="56"/>
      <c r="AA27" s="56"/>
      <c r="AB27" s="56"/>
    </row>
    <row r="28" spans="1:32" ht="24.9" hidden="1" customHeight="1" x14ac:dyDescent="0.3">
      <c r="A28" s="64"/>
      <c r="B28" s="63"/>
      <c r="C28" s="126"/>
      <c r="D28" s="127"/>
      <c r="E28" s="128"/>
      <c r="F28" s="62"/>
      <c r="G28" s="60"/>
      <c r="H28" s="59"/>
      <c r="I28" s="61"/>
      <c r="J28" s="60"/>
      <c r="K28" s="59"/>
      <c r="L28" s="58"/>
      <c r="M28" s="51"/>
      <c r="N28" s="58"/>
      <c r="O28" s="58"/>
      <c r="P28" s="58"/>
      <c r="Q28" s="58"/>
      <c r="R28" s="58"/>
      <c r="S28" s="51"/>
      <c r="T28" s="57"/>
      <c r="U28" s="57"/>
      <c r="V28" s="57"/>
      <c r="W28" s="57"/>
      <c r="X28" s="57"/>
      <c r="Y28" s="57"/>
      <c r="Z28" s="56"/>
      <c r="AA28" s="56"/>
      <c r="AB28" s="56"/>
      <c r="AF28" s="65"/>
    </row>
    <row r="29" spans="1:32" ht="24.9" hidden="1" customHeight="1" x14ac:dyDescent="0.3">
      <c r="A29" s="64"/>
      <c r="B29" s="63"/>
      <c r="C29" s="126"/>
      <c r="D29" s="127"/>
      <c r="E29" s="128"/>
      <c r="F29" s="62"/>
      <c r="G29" s="60"/>
      <c r="H29" s="59"/>
      <c r="I29" s="61"/>
      <c r="J29" s="60"/>
      <c r="K29" s="59"/>
      <c r="L29" s="58"/>
      <c r="M29" s="51"/>
      <c r="N29" s="58"/>
      <c r="O29" s="58"/>
      <c r="P29" s="58"/>
      <c r="Q29" s="58"/>
      <c r="R29" s="58"/>
      <c r="S29" s="51"/>
      <c r="T29" s="57"/>
      <c r="U29" s="57"/>
      <c r="V29" s="57"/>
      <c r="W29" s="57"/>
      <c r="X29" s="57"/>
      <c r="Y29" s="57"/>
      <c r="Z29" s="56"/>
      <c r="AA29" s="56"/>
      <c r="AB29" s="56"/>
      <c r="AE29" s="13"/>
    </row>
    <row r="30" spans="1:32" ht="24.9" customHeight="1" x14ac:dyDescent="0.3">
      <c r="A30" s="64"/>
      <c r="B30" s="63"/>
      <c r="C30" s="126"/>
      <c r="D30" s="127"/>
      <c r="E30" s="128"/>
      <c r="F30" s="62"/>
      <c r="G30" s="60"/>
      <c r="H30" s="59"/>
      <c r="I30" s="61"/>
      <c r="J30" s="60"/>
      <c r="K30" s="59"/>
      <c r="L30" s="58"/>
      <c r="M30" s="51"/>
      <c r="N30" s="58"/>
      <c r="O30" s="58"/>
      <c r="P30" s="58"/>
      <c r="Q30" s="58"/>
      <c r="R30" s="58"/>
      <c r="S30" s="51"/>
      <c r="T30" s="57"/>
      <c r="U30" s="57"/>
      <c r="V30" s="57"/>
      <c r="W30" s="57"/>
      <c r="X30" s="57"/>
      <c r="Y30" s="57"/>
      <c r="Z30" s="56"/>
      <c r="AA30" s="56"/>
      <c r="AB30" s="56"/>
      <c r="AE30" s="13"/>
    </row>
    <row r="31" spans="1:32" ht="24.9" customHeight="1" thickBot="1" x14ac:dyDescent="0.35">
      <c r="A31" s="55"/>
      <c r="B31" s="54"/>
      <c r="C31" s="133"/>
      <c r="D31" s="134"/>
      <c r="E31" s="135"/>
      <c r="F31" s="54"/>
      <c r="G31" s="54"/>
      <c r="H31" s="54"/>
      <c r="I31" s="54"/>
      <c r="J31" s="54"/>
      <c r="K31" s="53"/>
      <c r="L31" s="52"/>
      <c r="M31" s="52"/>
      <c r="N31" s="52"/>
      <c r="O31" s="52"/>
      <c r="P31" s="52"/>
      <c r="Q31" s="52"/>
      <c r="R31" s="52"/>
      <c r="S31" s="51"/>
      <c r="T31" s="50"/>
      <c r="U31" s="50"/>
      <c r="V31" s="49"/>
      <c r="W31" s="49"/>
      <c r="X31" s="49"/>
      <c r="Y31" s="49"/>
      <c r="Z31" s="48"/>
      <c r="AA31" s="48"/>
      <c r="AB31" s="48"/>
    </row>
    <row r="32" spans="1:32" ht="24.9" customHeight="1" thickBot="1" x14ac:dyDescent="0.35">
      <c r="A32" s="136" t="s">
        <v>91</v>
      </c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47">
        <f>SUM(L25:L31)</f>
        <v>16000</v>
      </c>
      <c r="M32" s="47">
        <f>SUM(M25:M31)</f>
        <v>0</v>
      </c>
      <c r="N32" s="47">
        <v>0</v>
      </c>
      <c r="O32" s="47">
        <v>0</v>
      </c>
      <c r="P32" s="47">
        <f>SUM(P25:P31)</f>
        <v>0</v>
      </c>
      <c r="Q32" s="47">
        <v>0</v>
      </c>
      <c r="R32" s="47">
        <v>0</v>
      </c>
      <c r="S32" s="46">
        <f>SUM(S25:S31)</f>
        <v>298725</v>
      </c>
      <c r="T32" s="45">
        <f>SUM(T25:T31)</f>
        <v>20044.447500000002</v>
      </c>
      <c r="U32" s="45">
        <f>SUM(U25:U31)</f>
        <v>0</v>
      </c>
      <c r="V32" s="45">
        <f>SUM(V25:V31)</f>
        <v>0</v>
      </c>
      <c r="W32" s="45">
        <f>SUM(W25:W31)</f>
        <v>0</v>
      </c>
      <c r="X32" s="45">
        <f>SUM(X25:X31)</f>
        <v>0</v>
      </c>
      <c r="Y32" s="45">
        <f>SUM(Y25:Y31)</f>
        <v>29872.5</v>
      </c>
      <c r="Z32" s="44">
        <f>SUM(Z25:Z31)</f>
        <v>24893.75</v>
      </c>
      <c r="AA32" s="44">
        <f>SUM(AA25:AA31)</f>
        <v>24893.75</v>
      </c>
      <c r="AB32" s="44">
        <f>SUM(AB25:AB31)</f>
        <v>24893.75</v>
      </c>
    </row>
    <row r="33" spans="1:28" ht="15.6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</row>
    <row r="34" spans="1:28" ht="15.6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N34" s="35"/>
      <c r="O34" s="35"/>
      <c r="P34" s="35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</row>
    <row r="35" spans="1:28" ht="15.6" x14ac:dyDescent="0.3">
      <c r="A35" s="42"/>
      <c r="B35" s="42"/>
      <c r="C35" s="42"/>
      <c r="D35" s="42"/>
      <c r="E35" s="42"/>
      <c r="F35" s="42"/>
      <c r="G35" s="42"/>
      <c r="H35" s="42"/>
      <c r="I35" s="42"/>
      <c r="K35" s="42"/>
      <c r="M35" s="41"/>
      <c r="N35" s="35"/>
      <c r="O35" s="35"/>
      <c r="P35" s="35"/>
      <c r="Q35" s="39"/>
      <c r="R35" s="39"/>
      <c r="S35" s="39"/>
      <c r="T35" s="43"/>
      <c r="U35" s="39"/>
      <c r="V35" s="39"/>
      <c r="W35" s="39"/>
      <c r="X35" s="39"/>
      <c r="Y35" s="39"/>
      <c r="Z35" s="39"/>
      <c r="AA35" s="39"/>
      <c r="AB35" s="39"/>
    </row>
    <row r="36" spans="1:28" ht="15.6" x14ac:dyDescent="0.3">
      <c r="A36" s="42"/>
      <c r="B36" s="42"/>
      <c r="C36" s="42"/>
      <c r="D36" s="42"/>
      <c r="E36" s="42"/>
      <c r="F36" s="42"/>
      <c r="G36" s="42"/>
      <c r="H36" s="42"/>
      <c r="J36" s="42"/>
      <c r="L36" s="42"/>
      <c r="N36" s="35"/>
      <c r="O36" s="35"/>
      <c r="P36" s="35"/>
      <c r="R36" s="39"/>
      <c r="S36" s="39"/>
      <c r="T36" s="41"/>
      <c r="U36" s="41"/>
      <c r="V36" s="39"/>
      <c r="W36" s="39"/>
      <c r="X36" s="39"/>
    </row>
    <row r="37" spans="1:28" ht="15.6" x14ac:dyDescent="0.3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40"/>
      <c r="T37" s="35"/>
      <c r="U37" s="35"/>
      <c r="V37" s="32"/>
      <c r="W37" s="39"/>
      <c r="X37" s="39"/>
      <c r="Y37" s="34"/>
      <c r="Z37" s="34"/>
      <c r="AA37" s="34"/>
      <c r="AB37" s="34"/>
    </row>
    <row r="38" spans="1:28" ht="15.6" x14ac:dyDescent="0.3">
      <c r="A38" s="35"/>
      <c r="B38" s="35"/>
      <c r="C38" s="35"/>
      <c r="D38" s="35"/>
      <c r="E38" s="35"/>
      <c r="F38" s="35"/>
      <c r="G38" s="138" t="s">
        <v>90</v>
      </c>
      <c r="H38" s="138"/>
      <c r="I38" s="138"/>
      <c r="J38" s="138"/>
      <c r="K38" s="138"/>
      <c r="L38" s="138"/>
      <c r="M38" s="34"/>
      <c r="N38" s="138" t="s">
        <v>89</v>
      </c>
      <c r="O38" s="138"/>
      <c r="P38" s="138"/>
      <c r="Q38" s="138"/>
      <c r="R38" s="35"/>
      <c r="S38" s="38"/>
      <c r="T38" s="38"/>
      <c r="U38" s="38"/>
      <c r="V38" s="38"/>
      <c r="W38" s="35"/>
      <c r="Y38" s="34"/>
      <c r="Z38" s="34"/>
      <c r="AA38" s="34"/>
      <c r="AB38" s="34"/>
    </row>
    <row r="39" spans="1:28" ht="15.6" x14ac:dyDescent="0.3">
      <c r="A39" s="35"/>
      <c r="B39" s="35"/>
      <c r="C39" s="35"/>
      <c r="D39" s="35"/>
      <c r="E39" s="35"/>
      <c r="F39" s="35"/>
      <c r="G39" s="139" t="s">
        <v>88</v>
      </c>
      <c r="H39" s="139"/>
      <c r="I39" s="139"/>
      <c r="J39" s="139"/>
      <c r="K39" s="139"/>
      <c r="L39" s="139"/>
      <c r="M39" s="34"/>
      <c r="N39" s="37" t="s">
        <v>87</v>
      </c>
      <c r="O39" s="36"/>
      <c r="P39" s="37"/>
      <c r="Q39" s="36"/>
      <c r="R39" s="35"/>
      <c r="S39" s="132" t="s">
        <v>86</v>
      </c>
      <c r="T39" s="132"/>
      <c r="U39" s="132"/>
      <c r="V39" s="132"/>
      <c r="W39" s="34"/>
      <c r="X39" s="33" t="s">
        <v>85</v>
      </c>
      <c r="Y39" s="32"/>
      <c r="Z39" s="32"/>
      <c r="AA39" s="32"/>
      <c r="AB39" s="32"/>
    </row>
    <row r="44" spans="1:28" x14ac:dyDescent="0.3">
      <c r="N44" s="13"/>
    </row>
    <row r="45" spans="1:28" x14ac:dyDescent="0.3">
      <c r="N45" s="13"/>
    </row>
  </sheetData>
  <mergeCells count="41">
    <mergeCell ref="S39:V39"/>
    <mergeCell ref="C30:E30"/>
    <mergeCell ref="C31:E31"/>
    <mergeCell ref="A32:K32"/>
    <mergeCell ref="G38:L38"/>
    <mergeCell ref="N38:Q38"/>
    <mergeCell ref="G39:L39"/>
    <mergeCell ref="C28:E28"/>
    <mergeCell ref="C29:E29"/>
    <mergeCell ref="W20:W22"/>
    <mergeCell ref="X20:X22"/>
    <mergeCell ref="Y20:Y22"/>
    <mergeCell ref="H20:H23"/>
    <mergeCell ref="I20:I23"/>
    <mergeCell ref="J20:J23"/>
    <mergeCell ref="K20:K23"/>
    <mergeCell ref="L20:L23"/>
    <mergeCell ref="M20:M23"/>
    <mergeCell ref="C24:E24"/>
    <mergeCell ref="C25:E25"/>
    <mergeCell ref="C26:E26"/>
    <mergeCell ref="C27:E27"/>
    <mergeCell ref="AA20:AA22"/>
    <mergeCell ref="AB20:AB22"/>
    <mergeCell ref="N20:O20"/>
    <mergeCell ref="P20:R20"/>
    <mergeCell ref="S20:S22"/>
    <mergeCell ref="T20:T22"/>
    <mergeCell ref="U20:U22"/>
    <mergeCell ref="V20:V22"/>
    <mergeCell ref="Z20:Z22"/>
    <mergeCell ref="A20:A23"/>
    <mergeCell ref="B20:B23"/>
    <mergeCell ref="C20:E23"/>
    <mergeCell ref="F20:F23"/>
    <mergeCell ref="G20:G23"/>
    <mergeCell ref="E11:F11"/>
    <mergeCell ref="E13:F13"/>
    <mergeCell ref="A14:AB14"/>
    <mergeCell ref="A15:Y15"/>
    <mergeCell ref="A16:Y16"/>
  </mergeCells>
  <pageMargins left="0.70866141732283472" right="0.70866141732283472" top="0.74803149606299213" bottom="0.74803149606299213" header="0.31496062992125984" footer="0.31496062992125984"/>
  <pageSetup scale="4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balance de apertura</vt:lpstr>
      <vt:lpstr>libro diario</vt:lpstr>
      <vt:lpstr>libro mayor</vt:lpstr>
      <vt:lpstr>Mayores</vt:lpstr>
      <vt:lpstr>AP. Y BENEFICIOS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59168</cp:lastModifiedBy>
  <dcterms:created xsi:type="dcterms:W3CDTF">2015-06-05T18:19:34Z</dcterms:created>
  <dcterms:modified xsi:type="dcterms:W3CDTF">2023-12-21T07:15:02Z</dcterms:modified>
</cp:coreProperties>
</file>