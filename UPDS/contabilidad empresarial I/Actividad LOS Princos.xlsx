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contabilidad empresarial I\"/>
    </mc:Choice>
  </mc:AlternateContent>
  <xr:revisionPtr revIDLastSave="0" documentId="13_ncr:1_{DCBF8A64-70EA-4CFC-93CA-3808810B991F}" xr6:coauthVersionLast="43" xr6:coauthVersionMax="47" xr10:uidLastSave="{00000000-0000-0000-0000-000000000000}"/>
  <bookViews>
    <workbookView xWindow="-108" yWindow="-108" windowWidth="23256" windowHeight="12456" tabRatio="737" activeTab="5" xr2:uid="{00000000-000D-0000-FFFF-FFFF00000000}"/>
  </bookViews>
  <sheets>
    <sheet name="Plan de cuentas" sheetId="1" r:id="rId1"/>
    <sheet name="Blce. Apertura" sheetId="7" r:id="rId2"/>
    <sheet name="Libro Diario 1" sheetId="6" r:id="rId3"/>
    <sheet name="Mayores" sheetId="11" r:id="rId4"/>
    <sheet name="BCSS" sheetId="12" state="hidden" r:id="rId5"/>
    <sheet name="HOJA DE TRABAJO" sheetId="13" r:id="rId6"/>
    <sheet name="FACTURA" sheetId="10" state="hidden" r:id="rId7"/>
    <sheet name="PLLA SUELDOS" sheetId="8" state="hidden" r:id="rId8"/>
    <sheet name="AP. Y BENEFICIOS" sheetId="9" state="hidden" r:id="rId9"/>
    <sheet name="ER" sheetId="14" state="hidden" r:id="rId10"/>
    <sheet name="BG" sheetId="15" state="hidden" r:id="rId11"/>
  </sheets>
  <externalReferences>
    <externalReference r:id="rId12"/>
  </externalReferences>
  <definedNames>
    <definedName name="_xlnm._FilterDatabase" localSheetId="5" hidden="1">'HOJA DE TRABAJO'!$A$6:$K$39</definedName>
    <definedName name="_xlnm._FilterDatabase" localSheetId="0" hidden="1">'Plan de cuentas'!$A$1:$C$268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" i="11" l="1"/>
  <c r="E19" i="13" l="1"/>
  <c r="F19" i="13" s="1"/>
  <c r="D21" i="13"/>
  <c r="F21" i="13" s="1"/>
  <c r="F26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E36" i="13"/>
  <c r="F36" i="13" s="1"/>
  <c r="D35" i="13"/>
  <c r="F35" i="13" s="1"/>
  <c r="D34" i="13"/>
  <c r="F34" i="13" s="1"/>
  <c r="E33" i="13"/>
  <c r="G33" i="13" s="1"/>
  <c r="E32" i="13"/>
  <c r="G32" i="13" s="1"/>
  <c r="E31" i="13"/>
  <c r="F31" i="13" s="1"/>
  <c r="E30" i="13"/>
  <c r="G30" i="13" s="1"/>
  <c r="D30" i="13"/>
  <c r="E29" i="13"/>
  <c r="G29" i="13" s="1"/>
  <c r="D28" i="13"/>
  <c r="F28" i="13" s="1"/>
  <c r="D27" i="13"/>
  <c r="F27" i="13" s="1"/>
  <c r="D26" i="13"/>
  <c r="G26" i="13" s="1"/>
  <c r="D25" i="13"/>
  <c r="G25" i="13" s="1"/>
  <c r="D24" i="13"/>
  <c r="F24" i="13" s="1"/>
  <c r="E23" i="13"/>
  <c r="F23" i="13" s="1"/>
  <c r="D22" i="13"/>
  <c r="G22" i="13" s="1"/>
  <c r="E20" i="13"/>
  <c r="G20" i="13" s="1"/>
  <c r="E18" i="13"/>
  <c r="G18" i="13" s="1"/>
  <c r="I18" i="13" s="1"/>
  <c r="I37" i="13" s="1"/>
  <c r="D17" i="13"/>
  <c r="G17" i="13" s="1"/>
  <c r="D16" i="13"/>
  <c r="F16" i="13" s="1"/>
  <c r="E15" i="13"/>
  <c r="G15" i="13" s="1"/>
  <c r="E14" i="13"/>
  <c r="D14" i="13"/>
  <c r="F14" i="13" s="1"/>
  <c r="E13" i="13"/>
  <c r="G13" i="13" s="1"/>
  <c r="D12" i="13"/>
  <c r="F12" i="13" s="1"/>
  <c r="D11" i="13"/>
  <c r="G11" i="13" s="1"/>
  <c r="D10" i="13"/>
  <c r="G10" i="13" s="1"/>
  <c r="G9" i="13"/>
  <c r="F9" i="13"/>
  <c r="E8" i="13"/>
  <c r="G8" i="13" s="1"/>
  <c r="D8" i="13"/>
  <c r="F8" i="13" s="1"/>
  <c r="G14" i="13" l="1"/>
  <c r="G12" i="13"/>
  <c r="G27" i="13"/>
  <c r="G28" i="13"/>
  <c r="F11" i="13"/>
  <c r="G16" i="13"/>
  <c r="G31" i="13"/>
  <c r="F18" i="13"/>
  <c r="G35" i="13"/>
  <c r="G19" i="13"/>
  <c r="G36" i="13"/>
  <c r="G23" i="13"/>
  <c r="F30" i="13"/>
  <c r="F10" i="13"/>
  <c r="G24" i="13"/>
  <c r="F22" i="13"/>
  <c r="F13" i="13"/>
  <c r="F17" i="13"/>
  <c r="G34" i="13"/>
  <c r="F32" i="13"/>
  <c r="F15" i="13"/>
  <c r="F20" i="13"/>
  <c r="F25" i="13"/>
  <c r="F29" i="13"/>
  <c r="F33" i="13"/>
  <c r="G21" i="13"/>
  <c r="D37" i="13"/>
  <c r="E37" i="13"/>
  <c r="A29" i="11"/>
  <c r="H28" i="11"/>
  <c r="H27" i="11"/>
  <c r="D93" i="6"/>
  <c r="C93" i="6"/>
  <c r="E19" i="11"/>
  <c r="F37" i="13" l="1"/>
  <c r="G37" i="13"/>
  <c r="E41" i="13"/>
  <c r="C94" i="6"/>
  <c r="B28" i="11" l="1"/>
  <c r="G27" i="11"/>
  <c r="E27" i="11"/>
  <c r="N18" i="11"/>
  <c r="J18" i="11"/>
  <c r="D18" i="11"/>
  <c r="E18" i="11"/>
  <c r="E7" i="11"/>
  <c r="G7" i="11"/>
  <c r="A10" i="11"/>
  <c r="B10" i="11"/>
  <c r="J6" i="11"/>
  <c r="D16" i="7"/>
  <c r="B35" i="15"/>
  <c r="B31" i="15"/>
  <c r="B26" i="15"/>
  <c r="B27" i="15"/>
  <c r="B28" i="15"/>
  <c r="B25" i="15"/>
  <c r="B24" i="15"/>
  <c r="B23" i="15"/>
  <c r="B17" i="15"/>
  <c r="B16" i="15"/>
  <c r="B13" i="15"/>
  <c r="B12" i="15"/>
  <c r="B11" i="15"/>
  <c r="E8" i="11" l="1"/>
  <c r="B11" i="11"/>
  <c r="A1" i="15"/>
  <c r="B30" i="14"/>
  <c r="B22" i="14"/>
  <c r="B23" i="14"/>
  <c r="B24" i="14"/>
  <c r="B25" i="14"/>
  <c r="B21" i="14"/>
  <c r="B20" i="14"/>
  <c r="B19" i="14"/>
  <c r="B18" i="14"/>
  <c r="A1" i="14"/>
  <c r="J10" i="13"/>
  <c r="H25" i="13"/>
  <c r="C22" i="14" s="1"/>
  <c r="H24" i="13"/>
  <c r="C21" i="14" s="1"/>
  <c r="C9" i="14"/>
  <c r="D7" i="14" s="1"/>
  <c r="D15" i="14" s="1"/>
  <c r="D3" i="11"/>
  <c r="B10" i="15" s="1"/>
  <c r="D21" i="10"/>
  <c r="D22" i="10"/>
  <c r="E10" i="10"/>
  <c r="E14" i="10" s="1"/>
  <c r="F14" i="10" s="1"/>
  <c r="AA23" i="9"/>
  <c r="AB23" i="9"/>
  <c r="Z23" i="9"/>
  <c r="Z25" i="9"/>
  <c r="Z32" i="9" s="1"/>
  <c r="B47" i="6"/>
  <c r="B46" i="6"/>
  <c r="B45" i="6"/>
  <c r="B44" i="6"/>
  <c r="X32" i="9"/>
  <c r="W32" i="9"/>
  <c r="V32" i="9"/>
  <c r="U32" i="9"/>
  <c r="P32" i="9"/>
  <c r="M32" i="9"/>
  <c r="L32" i="9"/>
  <c r="Y25" i="9"/>
  <c r="Y32" i="9" s="1"/>
  <c r="X33" i="8"/>
  <c r="W33" i="8"/>
  <c r="U33" i="8"/>
  <c r="P33" i="8"/>
  <c r="M33" i="8"/>
  <c r="L33" i="8"/>
  <c r="S26" i="8"/>
  <c r="S33" i="8" s="1"/>
  <c r="C16" i="15" l="1"/>
  <c r="H22" i="13"/>
  <c r="E15" i="10"/>
  <c r="K19" i="13"/>
  <c r="T26" i="8"/>
  <c r="T33" i="8" s="1"/>
  <c r="J11" i="13"/>
  <c r="C17" i="15" s="1"/>
  <c r="K23" i="13"/>
  <c r="C24" i="15" s="1"/>
  <c r="K29" i="13"/>
  <c r="C25" i="15" s="1"/>
  <c r="K30" i="13"/>
  <c r="C26" i="15" s="1"/>
  <c r="C12" i="15"/>
  <c r="K31" i="13"/>
  <c r="C27" i="15" s="1"/>
  <c r="H27" i="13"/>
  <c r="C24" i="14" s="1"/>
  <c r="H28" i="13"/>
  <c r="C25" i="14" s="1"/>
  <c r="H26" i="13"/>
  <c r="C23" i="14" s="1"/>
  <c r="F28" i="12"/>
  <c r="G14" i="10"/>
  <c r="E16" i="10"/>
  <c r="Y26" i="8"/>
  <c r="Y33" i="8" s="1"/>
  <c r="AA25" i="9"/>
  <c r="T25" i="9"/>
  <c r="T32" i="9" s="1"/>
  <c r="S32" i="9"/>
  <c r="H37" i="13" l="1"/>
  <c r="D15" i="15"/>
  <c r="K33" i="13"/>
  <c r="C28" i="15" s="1"/>
  <c r="D22" i="15" s="1"/>
  <c r="C13" i="15"/>
  <c r="C11" i="15"/>
  <c r="J9" i="13"/>
  <c r="D17" i="14"/>
  <c r="D27" i="14" s="1"/>
  <c r="D32" i="14" s="1"/>
  <c r="C36" i="15" s="1"/>
  <c r="D34" i="15" s="1"/>
  <c r="AA32" i="9"/>
  <c r="AB25" i="9"/>
  <c r="AB32" i="9" s="1"/>
  <c r="C10" i="15" l="1"/>
  <c r="I38" i="13"/>
  <c r="J8" i="13"/>
  <c r="K32" i="13"/>
  <c r="K37" i="13" s="1"/>
  <c r="H39" i="13"/>
  <c r="C9" i="15" l="1"/>
  <c r="J37" i="13"/>
  <c r="D8" i="15"/>
  <c r="D19" i="15" s="1"/>
  <c r="I39" i="13"/>
  <c r="C31" i="15"/>
  <c r="D30" i="15" s="1"/>
  <c r="D39" i="15" s="1"/>
  <c r="G41" i="13" l="1"/>
  <c r="F43" i="13" s="1"/>
  <c r="J38" i="13"/>
  <c r="I41" i="13" s="1"/>
  <c r="K39" i="13" l="1"/>
  <c r="J39" i="13" l="1"/>
</calcChain>
</file>

<file path=xl/sharedStrings.xml><?xml version="1.0" encoding="utf-8"?>
<sst xmlns="http://schemas.openxmlformats.org/spreadsheetml/2006/main" count="835" uniqueCount="460">
  <si>
    <t>ACTIVO</t>
  </si>
  <si>
    <t>ACTIVO DISPONIBLE</t>
  </si>
  <si>
    <t>ACTIVO EXIGIBLE</t>
  </si>
  <si>
    <t>OTRAS CUENTAS POR COBRAR</t>
  </si>
  <si>
    <t>ACTIVO REALIZABLE</t>
  </si>
  <si>
    <t>EQUIPOS E INSTALACIONES</t>
  </si>
  <si>
    <t>EQUIPOS DE COMPUTACION</t>
  </si>
  <si>
    <t>HERRAMIENTAS</t>
  </si>
  <si>
    <t>INVERSIONES</t>
  </si>
  <si>
    <t>ACTIVO DIFERIDO</t>
  </si>
  <si>
    <t>CONSTRUCCIONES CIVILES</t>
  </si>
  <si>
    <t>PASIVO</t>
  </si>
  <si>
    <t>PASIVO CORRIENTE</t>
  </si>
  <si>
    <t>ANTICIPOS DE CLIENTES M/N</t>
  </si>
  <si>
    <t>OBLIGACIONES FISCALES POR PAGAR</t>
  </si>
  <si>
    <t>CAPITAL SOCIAL</t>
  </si>
  <si>
    <t>CAPITAL PAGADO</t>
  </si>
  <si>
    <t>RESERVAS</t>
  </si>
  <si>
    <t>RESULTADOS ACUMULADOS</t>
  </si>
  <si>
    <t>INGRESOS</t>
  </si>
  <si>
    <t>INGRESOS OPERATIVOS</t>
  </si>
  <si>
    <t>INGRESOS NO OPERATIVOS</t>
  </si>
  <si>
    <t>INGRESOS FINANCIEROS</t>
  </si>
  <si>
    <t>INTERESES GANADOS EN CTAS. CTES.</t>
  </si>
  <si>
    <t>COMISIONES GANADAS</t>
  </si>
  <si>
    <t>BONO DE ANTIGÜEDAD</t>
  </si>
  <si>
    <t>HORAS EXTRAS</t>
  </si>
  <si>
    <t>BONOS</t>
  </si>
  <si>
    <t>HONORARIOS PROFESIONALES</t>
  </si>
  <si>
    <t>SEGUROS</t>
  </si>
  <si>
    <t>MANTENIMIENTO DE MUEBLES Y ENSERES</t>
  </si>
  <si>
    <t>TASAS Y PATENTES MUNICIPALES</t>
  </si>
  <si>
    <t>GASTOS GENERALES</t>
  </si>
  <si>
    <t>IMPRENTA</t>
  </si>
  <si>
    <t>DEPRECIACION MUEBLES Y ENSERES</t>
  </si>
  <si>
    <t>DEPRECIACION EQUIPOS E INSTALACIONES</t>
  </si>
  <si>
    <t>DEPRECIACION EQUIPOS DE COMPUTACION</t>
  </si>
  <si>
    <t>DEPRECIACION MAQUINARIAS Y EQUIPOS</t>
  </si>
  <si>
    <t>DEPRECIACION HERRAMIENTAS</t>
  </si>
  <si>
    <t>GASTOS TRIBUTARIOS</t>
  </si>
  <si>
    <t>GASTOS DE COMERCIALIZACION</t>
  </si>
  <si>
    <t>AGUINALDOS</t>
  </si>
  <si>
    <t>GASTOS DE REPRESENTACION</t>
  </si>
  <si>
    <t>PUBLICIDAD Y PROPAGANDA</t>
  </si>
  <si>
    <t>MARKETING</t>
  </si>
  <si>
    <t>GASTOS BANCARIOS</t>
  </si>
  <si>
    <t>INTERESES BANCARIOS</t>
  </si>
  <si>
    <t>DIFERENCIA POR REDONDEOS</t>
  </si>
  <si>
    <t>MULTAS Y SANCIONES - TRIBUTOS FISCALES</t>
  </si>
  <si>
    <t>RETIROS DE DINERO DE SOCIOS</t>
  </si>
  <si>
    <t>CODIGO</t>
  </si>
  <si>
    <t>CUENTA</t>
  </si>
  <si>
    <t>CLASIFICACION FLUJO</t>
  </si>
  <si>
    <t>CAJAS</t>
  </si>
  <si>
    <t>CAJA CHICAS</t>
  </si>
  <si>
    <t>BANCOS M/N</t>
  </si>
  <si>
    <t xml:space="preserve">ANTICIPO DE PROVEEDORES LOCALES  </t>
  </si>
  <si>
    <t>FONDOS A RENDIR</t>
  </si>
  <si>
    <t>PRESTAMOS A TERCEROS</t>
  </si>
  <si>
    <t>PRESTAMOS AL PERSONAL</t>
  </si>
  <si>
    <t>CUENTAS TRIBUTARIAS</t>
  </si>
  <si>
    <t>I.T.PAGADO POR ANTICIPADO</t>
  </si>
  <si>
    <t>(-)PREV. PARA CUENTA INCOBRABLES M/N</t>
  </si>
  <si>
    <t>(-)PREV.CUENTAS INCOBRABLES M/E</t>
  </si>
  <si>
    <t>INVENTARIOS DE MERCADERIAS</t>
  </si>
  <si>
    <t>GASTOS DE ORGANIZACION</t>
  </si>
  <si>
    <t>ACTIVO FIJO</t>
  </si>
  <si>
    <t>TERRENOS</t>
  </si>
  <si>
    <t>EDIFICIOS</t>
  </si>
  <si>
    <t>EDIFICIOS Y CONSTRUCCIONES</t>
  </si>
  <si>
    <t>DEP.ACUM.EDIFICIOS Y CONSTRUCCIONES</t>
  </si>
  <si>
    <t>MUEBLES Y ENSERES</t>
  </si>
  <si>
    <t>DEP.ACUM. MUEBLES Y ENSERES</t>
  </si>
  <si>
    <t>DEP.ACUML.HERRAMIENTAS</t>
  </si>
  <si>
    <t>MAQUINARIA Y EQUIPOS</t>
  </si>
  <si>
    <t>MAQUINARIA Y EQUIPO</t>
  </si>
  <si>
    <t>DEP.ACUMUL.MAQ.Y EQUIPO</t>
  </si>
  <si>
    <t>VEHICULOS</t>
  </si>
  <si>
    <t>DEP.ACUMUL.VEHICULOS</t>
  </si>
  <si>
    <t>DEP.ACUML.EQUIPO DE COMP.</t>
  </si>
  <si>
    <t>EQUPOS E INSTLACIONES</t>
  </si>
  <si>
    <t>DEP.ACUML.EQUIPOS E INSTALACIONES</t>
  </si>
  <si>
    <t>INVERSIONES EN OTRAS EMPRESAS</t>
  </si>
  <si>
    <t>ACCIONES TELEFONICAS</t>
  </si>
  <si>
    <t>INTANGIBLES</t>
  </si>
  <si>
    <t>LICENCIA DE USO SISTEMA</t>
  </si>
  <si>
    <t>OBRAS EN EJECUCION</t>
  </si>
  <si>
    <t>CUENTAS POR PAGAR COMERCIALES</t>
  </si>
  <si>
    <t>OTRAS CUENTAS POR PAGAR</t>
  </si>
  <si>
    <t>SERVICIOS BASICOS</t>
  </si>
  <si>
    <t>CRE POR PAGAR</t>
  </si>
  <si>
    <t>SAGUAPAC POR PAGAR</t>
  </si>
  <si>
    <t>TELECEL-INTERNET POR PAGAR</t>
  </si>
  <si>
    <t>COTAS POR PAGAR</t>
  </si>
  <si>
    <t>TIGO POR PAGAR</t>
  </si>
  <si>
    <t>BOLIVIATEL POR PAGAR</t>
  </si>
  <si>
    <t>CUENTAS POR PAGAR A CLIENTES</t>
  </si>
  <si>
    <t>DEVOLUCIONES A CLIENTES M/N</t>
  </si>
  <si>
    <t>IMPUESTO A LAS TRANSACCIONES POR PAGAR</t>
  </si>
  <si>
    <t>IMPUESTO A LAS UTILIDADES POR PAGAR</t>
  </si>
  <si>
    <t>IMPUESTO AL VALOR AGREGADO POR PAGAR</t>
  </si>
  <si>
    <t>PATENTE MUNICIPAL POR PAGAR</t>
  </si>
  <si>
    <t>IMPUESTOS A LOS VEHICULOS POR PAGAR</t>
  </si>
  <si>
    <t>IMPUESTOS A LOS INMUEBLES POR PAGAR</t>
  </si>
  <si>
    <t>APORTES SOCIALES POR PAGAR</t>
  </si>
  <si>
    <t>OBLIGACIONES CON EL PERSONAL</t>
  </si>
  <si>
    <t>SUELDOS Y SALARIOS POR PAGAR</t>
  </si>
  <si>
    <t>AGUINALDO POR PAGAR</t>
  </si>
  <si>
    <t>SUBSIDIO POR PAGAR</t>
  </si>
  <si>
    <t>COMISIONES SOBRE VENTAS POR PAGAR</t>
  </si>
  <si>
    <t>COMISION SOBRE COBRANZAS POR PAGAR</t>
  </si>
  <si>
    <t>BONOS AL PERSONAL POR PAGAR</t>
  </si>
  <si>
    <t>PASIVO NO CORRIENTE</t>
  </si>
  <si>
    <t>PROVISIONES Y PREVISIONES</t>
  </si>
  <si>
    <t xml:space="preserve">PREVISION PARA INDEMIZACION </t>
  </si>
  <si>
    <t>PROVISION PARA AGUINALDO</t>
  </si>
  <si>
    <t>PRESTAMOS BANCARIOS</t>
  </si>
  <si>
    <t>PATRIMONIO</t>
  </si>
  <si>
    <t>RESULTADOS</t>
  </si>
  <si>
    <t>RESULTADOS DE LA GESTION</t>
  </si>
  <si>
    <t>RESERVAS LEGALES</t>
  </si>
  <si>
    <t>AJUSTES</t>
  </si>
  <si>
    <t>AJUSTE DE CAPITAL</t>
  </si>
  <si>
    <t>AJUSTE DE RESERVAS PATRIMONIALES</t>
  </si>
  <si>
    <t>VENTAS DE PRODUCTOS</t>
  </si>
  <si>
    <t>RECARGO SOBRE VENTAS</t>
  </si>
  <si>
    <t>DESCUENTOS SOBRE VENTAS</t>
  </si>
  <si>
    <t>DEVOLUCIONES SOBRE VENTAS</t>
  </si>
  <si>
    <t>VENTA DE ACTIVO FIJO</t>
  </si>
  <si>
    <t>OTROS INGRESOS</t>
  </si>
  <si>
    <t>CORRECCION MONETARIA</t>
  </si>
  <si>
    <t>DIFERENCIA DE CAMBIO</t>
  </si>
  <si>
    <t>A.I.T.B.</t>
  </si>
  <si>
    <t>MANTENIMIENTO DE VALOR</t>
  </si>
  <si>
    <t>DIFERENCIA POR REDONDEO</t>
  </si>
  <si>
    <t>COSTO</t>
  </si>
  <si>
    <t>COSTO DE VENTAS</t>
  </si>
  <si>
    <t>COSTO MERCADERIA VENDIDA</t>
  </si>
  <si>
    <t>COSTO DE FLETES Y ACARREOS</t>
  </si>
  <si>
    <t>DIFERENCIA EN INVENTARIOS</t>
  </si>
  <si>
    <t>DEGUSTACION Y MUESTRAS</t>
  </si>
  <si>
    <t>GASTOS</t>
  </si>
  <si>
    <t>GASTOS OPERATIVOS</t>
  </si>
  <si>
    <t>GASTOS EN EL PERSONAL</t>
  </si>
  <si>
    <t>SUELDOS Y SALARIOS</t>
  </si>
  <si>
    <t>BENEFICIOS SOCIALES Y OTROS</t>
  </si>
  <si>
    <t>VACACIONES</t>
  </si>
  <si>
    <t>SUBSIDIOS</t>
  </si>
  <si>
    <t>INDEMNIZACION</t>
  </si>
  <si>
    <t>REFRIGERIO</t>
  </si>
  <si>
    <t>COMISION SOBRE COBRANZA</t>
  </si>
  <si>
    <t>BONO DE NATALIDAD</t>
  </si>
  <si>
    <t>TRANSPORTE Y OTROS</t>
  </si>
  <si>
    <t>APORTES SOCIALES</t>
  </si>
  <si>
    <t>Aportes Patronal Ministerio de Trabajo</t>
  </si>
  <si>
    <t>Caja Nacional de Salud</t>
  </si>
  <si>
    <t>Formularios</t>
  </si>
  <si>
    <t>Multas y sanciones por aportes sociales</t>
  </si>
  <si>
    <t>GASTOS ADMINISTRATIVOS</t>
  </si>
  <si>
    <t>SOPORTE TECNICO</t>
  </si>
  <si>
    <t>COURRIER Y MENSAJERIA</t>
  </si>
  <si>
    <t>FOTOCOPIAS/ANILLADOS</t>
  </si>
  <si>
    <t>ENERGIA ELECTRICA</t>
  </si>
  <si>
    <t>AGUA</t>
  </si>
  <si>
    <t>TELEFONO FIJO</t>
  </si>
  <si>
    <t>TELEFONO CELULAR</t>
  </si>
  <si>
    <t>INTERNET</t>
  </si>
  <si>
    <t>MATERIALES Y SUMINISTROS</t>
  </si>
  <si>
    <t>MATERIAL DE ESCRITORIO</t>
  </si>
  <si>
    <t>MATERIAL DE LIMPIEZA</t>
  </si>
  <si>
    <t>MATERIAL DE COMPUTACION</t>
  </si>
  <si>
    <t>IMPUESTOS A LAS TRANSACCIONES</t>
  </si>
  <si>
    <t>IMPUESTO A LAS UTILIDADES DE LAS EMPRESAS</t>
  </si>
  <si>
    <t>IMPUESTO AUTOMOTOR</t>
  </si>
  <si>
    <t>IMPTO.  A LA PROP. DE BIENES INMUEBLES</t>
  </si>
  <si>
    <t>INTERESES Y MTTO. DE VALOR TRIBUTOS</t>
  </si>
  <si>
    <t>IMPTO. MUNICIPAL A LAS TRANSFERENCIAS</t>
  </si>
  <si>
    <t>MULTA POR INCUMPL. A LOS DEBERES FORMALES</t>
  </si>
  <si>
    <t>INTERES POR TRIBUTOS FISCALES</t>
  </si>
  <si>
    <t>MANTENIMIENTOS Y REPARACIONES</t>
  </si>
  <si>
    <t>MANTENIMIENTO DE EDIFICIOS</t>
  </si>
  <si>
    <t>MANTENIMIENTO DE OFICINA</t>
  </si>
  <si>
    <t>MANTENIMIENTO DE HERRAMIENTAS</t>
  </si>
  <si>
    <t>MANTENIMIENTO EQUIPO DE COMPUTACION</t>
  </si>
  <si>
    <t>MANTENIMIENTO SOFTWARE/HARDWARE</t>
  </si>
  <si>
    <t>GASTOS LEGALES Y OTROS</t>
  </si>
  <si>
    <t>TRANSPORTE-MOVILIZACIONES</t>
  </si>
  <si>
    <t>GASTOS EN MUEBLES DE OFICINA</t>
  </si>
  <si>
    <t>GASTOS EN EQUIPOS DE OFICINA</t>
  </si>
  <si>
    <t>GASTOS EN HERRAMIENTAS EN GENERAL</t>
  </si>
  <si>
    <t>GASTOS VARIOS</t>
  </si>
  <si>
    <t>GASTO EN REFRIGERIOS</t>
  </si>
  <si>
    <t>DEPRECIACION ACTIVOS FIJOS</t>
  </si>
  <si>
    <t>DEPRECIACION EDIFICIOS</t>
  </si>
  <si>
    <t>DEPRECIACION VEHICULOS</t>
  </si>
  <si>
    <t>CASTIGO CUENTAS INCOBRABLES</t>
  </si>
  <si>
    <t>COMISIONES Y GASTOS BANCARIOS</t>
  </si>
  <si>
    <t>CERTIFICACIONES</t>
  </si>
  <si>
    <t>DIFRENCIA EN TIPO DE CAMBIO</t>
  </si>
  <si>
    <t>COMBUSTIBLE Y LUBRICANTES</t>
  </si>
  <si>
    <t>UNIFORMES DE TRABAJO</t>
  </si>
  <si>
    <t>MANT. Y REPARACION DE VEHICULO</t>
  </si>
  <si>
    <t>PASAJES Y HOSPEDAJE</t>
  </si>
  <si>
    <t>ALQUILER ESPACIOS EN SUPERMERCADOS</t>
  </si>
  <si>
    <t>ALQUILER DE ISLAS EN SUPERMERCADOS</t>
  </si>
  <si>
    <t>NEVERAS</t>
  </si>
  <si>
    <t>IMPULSADORES EN SUPERMERCADOS VTAS.</t>
  </si>
  <si>
    <t>COMISIONES S/VTAS. AL PERSONAL</t>
  </si>
  <si>
    <t>COMISIONES S/VTAS. A TERCEROS</t>
  </si>
  <si>
    <t>GASTOS DE PRODUCCION</t>
  </si>
  <si>
    <t>FUMIGACION</t>
  </si>
  <si>
    <t>MANTENIMIENTO Y REP. DE MAQUINARIAS</t>
  </si>
  <si>
    <t>MANT.Y REPARACION EQUIPOS DE FRIO</t>
  </si>
  <si>
    <t>TRANSP.DE MATERIA PRIMA P/PROD.</t>
  </si>
  <si>
    <t>GUANTES GORROS BARBIJOS -PRODUCC.</t>
  </si>
  <si>
    <t>ANALISIS DE LABORATORIO - PRODUCC.</t>
  </si>
  <si>
    <t>MATERIALES Y OTROS P/PRODUCC.</t>
  </si>
  <si>
    <t>TRAMITES SANITARIOS Y OTROS</t>
  </si>
  <si>
    <t>GASTOS NO DEDUCIBLES</t>
  </si>
  <si>
    <t>AJUSTE P/INFLACION Y TENENCIA DE BIENES</t>
  </si>
  <si>
    <t>MANTTO DE VALOR</t>
  </si>
  <si>
    <t>BANCO 3</t>
  </si>
  <si>
    <t>BANCO 4</t>
  </si>
  <si>
    <t>FONDOS 1</t>
  </si>
  <si>
    <t>FONDOS 2</t>
  </si>
  <si>
    <t>FONDOS 3</t>
  </si>
  <si>
    <t>FONDOS 4</t>
  </si>
  <si>
    <t>PRESTAMO BANCARIO 1</t>
  </si>
  <si>
    <t>PRESTAMO BANCARIO 2</t>
  </si>
  <si>
    <t>OPERACIONES</t>
  </si>
  <si>
    <t>FINANCIAMIENTO</t>
  </si>
  <si>
    <t>DISPONIBLE</t>
  </si>
  <si>
    <t>no corresponde</t>
  </si>
  <si>
    <t>BANCO BISA 7468910017</t>
  </si>
  <si>
    <t>BANCO  UNION 10000033281069</t>
  </si>
  <si>
    <t>CUENTAS POR COBRAR SUBROGACION</t>
  </si>
  <si>
    <t>TOTAL PASIVO Y PATRIMONIO</t>
  </si>
  <si>
    <t>FECHA</t>
  </si>
  <si>
    <t>DETALLE</t>
  </si>
  <si>
    <t>DEBE</t>
  </si>
  <si>
    <t>HABER</t>
  </si>
  <si>
    <t xml:space="preserve">CREDITO FISCAL </t>
  </si>
  <si>
    <t>CAJA CHICA M/N</t>
  </si>
  <si>
    <t>VENTAS</t>
  </si>
  <si>
    <t>DEBITO FISCAL</t>
  </si>
  <si>
    <t>CUENTAS POR COBRAR CLIENTES</t>
  </si>
  <si>
    <t>CUENTAS POR COBRAR</t>
  </si>
  <si>
    <t>LIBRO DIARIO (COMPROBANTES)</t>
  </si>
  <si>
    <t>BALANCE DE APERTURA</t>
  </si>
  <si>
    <t>(Expresado en bolivianos)</t>
  </si>
  <si>
    <t>CAJA MONEDA NACIONAL</t>
  </si>
  <si>
    <t>INVENTARIO DE MERCADERIAS</t>
  </si>
  <si>
    <t>TOTAL ACTIVO</t>
  </si>
  <si>
    <t xml:space="preserve">     ------------ CT-01 ----------</t>
  </si>
  <si>
    <t>BANCO GANADERO M/N</t>
  </si>
  <si>
    <t>BANCO UNION M/N</t>
  </si>
  <si>
    <t>APORTE LABORAL GESTORA POR PAGAR</t>
  </si>
  <si>
    <t>APORTE PATRONAL GESTORA POR PAGAR</t>
  </si>
  <si>
    <t>APORTE SOLIDARIO GESTORA POR PAGAR</t>
  </si>
  <si>
    <t>APORTES PATRONALES GESTORA 6.71%</t>
  </si>
  <si>
    <t>CAJA DE SALUD 10%</t>
  </si>
  <si>
    <t>PRIMAS</t>
  </si>
  <si>
    <t>CAJA DE SALUD POR PAGAR</t>
  </si>
  <si>
    <t>PRIMAS POR PAGAR</t>
  </si>
  <si>
    <t>CAJA M/N</t>
  </si>
  <si>
    <t>BANCO BISA M/N</t>
  </si>
  <si>
    <t xml:space="preserve">              CAPITAL SOCIAL</t>
  </si>
  <si>
    <t xml:space="preserve">     ------------ CE-01 ----------</t>
  </si>
  <si>
    <t>GASTOS LEGALES</t>
  </si>
  <si>
    <t>CREDITO FISCAL</t>
  </si>
  <si>
    <t xml:space="preserve">     ------------ CE-02 ----------</t>
  </si>
  <si>
    <t>SEGUROS PAGADOS POR ADELANTADO</t>
  </si>
  <si>
    <t xml:space="preserve">     ------------ CI-01 ----------</t>
  </si>
  <si>
    <t>I.T.</t>
  </si>
  <si>
    <t xml:space="preserve">     ------------ CT-02 ----------</t>
  </si>
  <si>
    <t>CUENTAS POR PAGAR</t>
  </si>
  <si>
    <t>NOMBRE O RAZÓN SOCIAL</t>
  </si>
  <si>
    <t>Nº EMPLEADOR CAJA DE SALUD</t>
  </si>
  <si>
    <t>NIT</t>
  </si>
  <si>
    <t>DIRECCIÓN</t>
  </si>
  <si>
    <t>TELEFÓNO</t>
  </si>
  <si>
    <t>PLANILLA DE SUELDOS Y SALARIOS</t>
  </si>
  <si>
    <t>PERSONAL PERMANENTE</t>
  </si>
  <si>
    <t>(Expresado en Bolivianos)</t>
  </si>
  <si>
    <t>Nº</t>
  </si>
  <si>
    <t>CARNET DE IDENTIDAD</t>
  </si>
  <si>
    <t>APELLIDOS Y NOMBRE</t>
  </si>
  <si>
    <t>NACIONALIDAD</t>
  </si>
  <si>
    <t>FECHA DE NACIMIENTO</t>
  </si>
  <si>
    <t>SEXO
(F/M)</t>
  </si>
  <si>
    <t>OCUPACIÓN QUE 
DESEMPEÑA</t>
  </si>
  <si>
    <t>FECHA DE INGRESO</t>
  </si>
  <si>
    <t>DÍAS PAGADOS MES</t>
  </si>
  <si>
    <t>HABER BASICO</t>
  </si>
  <si>
    <t>HRS. EXTRAS</t>
  </si>
  <si>
    <t>TOTAL GANADO</t>
  </si>
  <si>
    <t>DESCUENTOS</t>
  </si>
  <si>
    <t>TOTAL DCTOS.</t>
  </si>
  <si>
    <t>LÍQUIDO PAGABLE</t>
  </si>
  <si>
    <t>FIRMA DEL
EMPLEADO</t>
  </si>
  <si>
    <t>GESTORA</t>
  </si>
  <si>
    <t>AFP</t>
  </si>
  <si>
    <t>RC-IVA</t>
  </si>
  <si>
    <t>MONTO</t>
  </si>
  <si>
    <t>BONO DE</t>
  </si>
  <si>
    <t>DOMINICA-</t>
  </si>
  <si>
    <t>OTROS</t>
  </si>
  <si>
    <t>No.</t>
  </si>
  <si>
    <t>PAGADO</t>
  </si>
  <si>
    <t>PRODUCC.</t>
  </si>
  <si>
    <t>LES</t>
  </si>
  <si>
    <t>(G)</t>
  </si>
  <si>
    <t>Fondo</t>
  </si>
  <si>
    <t>DCTOS.</t>
  </si>
  <si>
    <t>(K)</t>
  </si>
  <si>
    <t xml:space="preserve"> (L)</t>
  </si>
  <si>
    <t>(A)</t>
  </si>
  <si>
    <t>(B)</t>
  </si>
  <si>
    <t>(C)</t>
  </si>
  <si>
    <t>(D)</t>
  </si>
  <si>
    <t>(E)</t>
  </si>
  <si>
    <t>(F)</t>
  </si>
  <si>
    <t>(H)</t>
  </si>
  <si>
    <t>Solidario</t>
  </si>
  <si>
    <t>(I)</t>
  </si>
  <si>
    <t>(J)</t>
  </si>
  <si>
    <t>H+I+J</t>
  </si>
  <si>
    <t>G-K</t>
  </si>
  <si>
    <t>TRABAJADORES</t>
  </si>
  <si>
    <t>TOTALES</t>
  </si>
  <si>
    <t>EDUARDO VARGAS ROMAN</t>
  </si>
  <si>
    <t>3200134 S.C</t>
  </si>
  <si>
    <t>NOMBRE DEL EMPLEADOR O REPRESENTANTE  LEGAL</t>
  </si>
  <si>
    <t>Nº DE DOCUMENTO DE IDENTIDAD</t>
  </si>
  <si>
    <t>FIRMA</t>
  </si>
  <si>
    <t>FECHA: 30 DE JUNIO DE 2023</t>
  </si>
  <si>
    <t>PLANILLA DE APORTES PATRONALES Y BENEFICIOS SOCIALES</t>
  </si>
  <si>
    <t>CAJA DE SALUD</t>
  </si>
  <si>
    <t>AGUINALDO</t>
  </si>
  <si>
    <t xml:space="preserve">                                                                               CORRESPONDIENTE AL MES DE NOVIEMBRE DE 2023</t>
  </si>
  <si>
    <t xml:space="preserve">     ------------ CT-03 ----------</t>
  </si>
  <si>
    <t xml:space="preserve">     ------------ CT-04 ----------</t>
  </si>
  <si>
    <t xml:space="preserve">        APORTE PATRONAL GESTORA POR PAGAR</t>
  </si>
  <si>
    <t xml:space="preserve">       CAJA DE SALUD POR PAGAR</t>
  </si>
  <si>
    <t xml:space="preserve">       AGUINALDO POR PAGAR</t>
  </si>
  <si>
    <t xml:space="preserve">       PREVISION PARA INDEMIZACION </t>
  </si>
  <si>
    <t xml:space="preserve">       PRIMAS POR PAGAR</t>
  </si>
  <si>
    <t xml:space="preserve">        CAJA M/N</t>
  </si>
  <si>
    <t>BAP SRL</t>
  </si>
  <si>
    <t>FACTURA</t>
  </si>
  <si>
    <t>Cliente: LOS PENOCOS S.A.</t>
  </si>
  <si>
    <t>ITEM</t>
  </si>
  <si>
    <t>P/U</t>
  </si>
  <si>
    <t>TOTAL</t>
  </si>
  <si>
    <t>VARIOS</t>
  </si>
  <si>
    <t>DESCUENTO</t>
  </si>
  <si>
    <t>TOTAL A PAGAR</t>
  </si>
  <si>
    <t>DESCUENTO EN COMPRAS</t>
  </si>
  <si>
    <t>CF</t>
  </si>
  <si>
    <t>INVENTARIO</t>
  </si>
  <si>
    <t>CAJA MN</t>
  </si>
  <si>
    <t>BALANCE DE COMPROBACION DE SUMAS Y SALDOS</t>
  </si>
  <si>
    <t>NRO</t>
  </si>
  <si>
    <t>CUENTAS</t>
  </si>
  <si>
    <t>TIPO</t>
  </si>
  <si>
    <t>SUMAS</t>
  </si>
  <si>
    <t>SALDOS</t>
  </si>
  <si>
    <t>DEUDOR</t>
  </si>
  <si>
    <t>ACREEDOR</t>
  </si>
  <si>
    <t>I.T. POR PAGAR</t>
  </si>
  <si>
    <t>SUMAS IGUALES</t>
  </si>
  <si>
    <t>DEL 01 AL 30 DE NOVIEMBRE DE 2023</t>
  </si>
  <si>
    <t>EXPRESADO EN BOLIVIANOS</t>
  </si>
  <si>
    <t>EMPRESA: LOS PENOCOS S.A.</t>
  </si>
  <si>
    <t>A</t>
  </si>
  <si>
    <t>E</t>
  </si>
  <si>
    <t>PAT</t>
  </si>
  <si>
    <t>P</t>
  </si>
  <si>
    <t>I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</si>
  <si>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</si>
  <si>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</si>
  <si>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</si>
  <si>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</si>
  <si>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</si>
  <si>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</si>
  <si>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RESULTADO DEL PERIODO</t>
  </si>
  <si>
    <t>Del 01 al 30 de noviembre de 2023</t>
  </si>
  <si>
    <t>VENTAS NETAS</t>
  </si>
  <si>
    <t>Ventas</t>
  </si>
  <si>
    <t>Devoluciones s/ventas</t>
  </si>
  <si>
    <t>Descuento s/ventas</t>
  </si>
  <si>
    <t>(-)</t>
  </si>
  <si>
    <t>Costo de ventas</t>
  </si>
  <si>
    <t>UTILIDAD BRUTA EN VENTAS</t>
  </si>
  <si>
    <t>PÉRDIDA OPERATIVA</t>
  </si>
  <si>
    <t>(+)</t>
  </si>
  <si>
    <t>PÉRDIDA DEL EJERCICIO</t>
  </si>
  <si>
    <t>Al 30 de noviembre de 2023</t>
  </si>
  <si>
    <t>ACTIVO CORRIENTE</t>
  </si>
  <si>
    <t>ACTIVO NO CORRIENTE</t>
  </si>
  <si>
    <t>CAPITAL</t>
  </si>
  <si>
    <t>GERENTE GENERAL</t>
  </si>
  <si>
    <t>CONTADOR</t>
  </si>
  <si>
    <t>Caja M/N</t>
  </si>
  <si>
    <t>Banco Union M/N</t>
  </si>
  <si>
    <t>Inventario de Mercaderia</t>
  </si>
  <si>
    <t>Equipos de Computación</t>
  </si>
  <si>
    <t>Practicado al 01 de Julio de 2023</t>
  </si>
  <si>
    <t>Documentos por Pagar</t>
  </si>
  <si>
    <t>Cuentas por Pagar</t>
  </si>
  <si>
    <t>Capital Social</t>
  </si>
  <si>
    <t xml:space="preserve">Empresa Princo Ltda. </t>
  </si>
  <si>
    <t>BANCO UNIÓN M/N</t>
  </si>
  <si>
    <t>DOCUMENTOS POR PAGAR</t>
  </si>
  <si>
    <t>IMPUESTO A LAS TRANSACCIONES</t>
  </si>
  <si>
    <t>Glosa: Por inicio del asiento de balance inicial</t>
  </si>
  <si>
    <t>Glosa:Por venta de Merc. Según fact. #</t>
  </si>
  <si>
    <t>Glosa: Por compra de Merc. Según fact. #</t>
  </si>
  <si>
    <t>Glosa: Por deposito al banco de Merc. Vendida</t>
  </si>
  <si>
    <t>Glosa:Por compra de un vehiculo para la empresa</t>
  </si>
  <si>
    <t>Vehiculos</t>
  </si>
  <si>
    <t xml:space="preserve">SUELDOS Y SALARIOS </t>
  </si>
  <si>
    <t>Glosa: Por pago de sueldos 07/23 según planilla</t>
  </si>
  <si>
    <t>Glosa: Por registro de planilla de aportes y beneficios</t>
  </si>
  <si>
    <t xml:space="preserve">    ------------ CE-03 ----------</t>
  </si>
  <si>
    <t>SAGUAPAC LTDA</t>
  </si>
  <si>
    <t xml:space="preserve">    ------------ CI-02 ----------</t>
  </si>
  <si>
    <t>Glosa: Por venta de Merc. Según fact. #</t>
  </si>
  <si>
    <t xml:space="preserve">    ------------ CE-04 ----------</t>
  </si>
  <si>
    <t>Glosa:Por devolucion de ventas del 21/7/2023</t>
  </si>
  <si>
    <t>DESCUENTOS EN COMPRAS</t>
  </si>
  <si>
    <t>Glosa:Por pago de compra de Merc. Del 24/7/2023</t>
  </si>
  <si>
    <t xml:space="preserve"> ------------ CI-03 ----------</t>
  </si>
  <si>
    <t xml:space="preserve">   ------------ CE-05 ----------</t>
  </si>
  <si>
    <t xml:space="preserve"> ------------ CE-06 ----------</t>
  </si>
  <si>
    <t>INV. DE MERCADERIAS</t>
  </si>
  <si>
    <t>IMP. A LAS TRANSACCIONES</t>
  </si>
  <si>
    <t>APORTE LAB. GEST. POR PAGAR</t>
  </si>
  <si>
    <t xml:space="preserve">APORTES PATRO. GESTORA </t>
  </si>
  <si>
    <t xml:space="preserve">   ------------ CI-03 ----------</t>
  </si>
  <si>
    <t>EQUIPOS DE COMP.</t>
  </si>
  <si>
    <t>DOCUMENTOS POR COBRAR</t>
  </si>
  <si>
    <t xml:space="preserve">DOCUMEN. POR COBRAR </t>
  </si>
  <si>
    <t>Glosa:Por pago de imp. Del mes de julio</t>
  </si>
  <si>
    <t>APOR.PAT.GEST.POR PAGAR</t>
  </si>
  <si>
    <t>CAJA SALUD. POR PAGAR</t>
  </si>
  <si>
    <t>PREV. PARA INDEM.</t>
  </si>
  <si>
    <t xml:space="preserve">PRIMAS POR PAGAR </t>
  </si>
  <si>
    <t xml:space="preserve">SAGUAPAC LTDA </t>
  </si>
  <si>
    <r>
      <rPr>
        <b/>
        <sz val="11"/>
        <color theme="1"/>
        <rFont val="Calibri"/>
        <family val="2"/>
        <scheme val="minor"/>
      </rPr>
      <t>Glosa: Por pago del servicio de agua</t>
    </r>
    <r>
      <rPr>
        <sz val="11"/>
        <color theme="1"/>
        <rFont val="Calibri"/>
        <family val="2"/>
        <scheme val="minor"/>
      </rPr>
      <t xml:space="preserve"> </t>
    </r>
  </si>
  <si>
    <t>DEVO. SOBRE VENTAS</t>
  </si>
  <si>
    <t xml:space="preserve">I.T.  </t>
  </si>
  <si>
    <t xml:space="preserve"> </t>
  </si>
  <si>
    <t xml:space="preserve">    </t>
  </si>
  <si>
    <t xml:space="preserve">  </t>
  </si>
  <si>
    <t>PREVISION PARA INDEMNIZACION</t>
  </si>
  <si>
    <t>SAGUAPAC</t>
  </si>
  <si>
    <t>PG</t>
  </si>
  <si>
    <t>DEL 01 AL 1 DE JULIO DE 2023</t>
  </si>
  <si>
    <t>EMPRESA: LOS PRINCOS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</si>
</sst>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4"/>
      <name val="Arial"/>
      <family val="2"/>
    </font>
    <font>
      <b/>
      <sz val="10"/>
      <name val="Arial"/>
      <family val="2"/>
    </font>
    <font>
      <sz val="12"/>
      <color indexed="9"/>
      <name val="Arial"/>
      <family val="2"/>
    </font>
    <font>
      <sz val="12"/>
      <color indexed="9"/>
      <name val="Arial Narrow"/>
      <family val="2"/>
    </font>
    <font>
      <sz val="12"/>
      <name val="Arial Narrow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4" fontId="0" fillId="0" borderId="0" xfId="0" applyNumberFormat="1"/>
    <xf numFmtId="0" fontId="7" fillId="0" borderId="0" xfId="0" applyFont="1"/>
    <xf numFmtId="4" fontId="1" fillId="0" borderId="0" xfId="0" applyNumberFormat="1" applyFont="1"/>
    <xf numFmtId="4" fontId="0" fillId="0" borderId="2" xfId="0" applyNumberFormat="1" applyBorder="1"/>
    <xf numFmtId="14" fontId="0" fillId="0" borderId="1" xfId="0" applyNumberFormat="1" applyBorder="1"/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11" fillId="0" borderId="0" xfId="2" applyFont="1"/>
    <xf numFmtId="0" fontId="10" fillId="0" borderId="0" xfId="2"/>
    <xf numFmtId="0" fontId="12" fillId="0" borderId="0" xfId="2" applyFont="1"/>
    <xf numFmtId="0" fontId="13" fillId="0" borderId="0" xfId="2" applyFont="1"/>
    <xf numFmtId="0" fontId="12" fillId="0" borderId="0" xfId="2" applyFont="1" applyAlignment="1">
      <alignment horizontal="left"/>
    </xf>
    <xf numFmtId="0" fontId="11" fillId="0" borderId="0" xfId="0" applyFont="1"/>
    <xf numFmtId="0" fontId="14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5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/>
    </xf>
    <xf numFmtId="0" fontId="15" fillId="0" borderId="6" xfId="2" applyFont="1" applyBorder="1" applyAlignment="1">
      <alignment horizontal="center"/>
    </xf>
    <xf numFmtId="0" fontId="15" fillId="0" borderId="0" xfId="2" applyFont="1" applyAlignment="1">
      <alignment horizontal="center"/>
    </xf>
    <xf numFmtId="0" fontId="15" fillId="0" borderId="9" xfId="2" applyFont="1" applyBorder="1" applyAlignment="1">
      <alignment horizontal="center"/>
    </xf>
    <xf numFmtId="0" fontId="15" fillId="0" borderId="10" xfId="2" applyFont="1" applyBorder="1" applyAlignment="1">
      <alignment horizontal="center"/>
    </xf>
    <xf numFmtId="10" fontId="15" fillId="2" borderId="0" xfId="2" applyNumberFormat="1" applyFont="1" applyFill="1" applyAlignment="1">
      <alignment horizontal="center"/>
    </xf>
    <xf numFmtId="10" fontId="15" fillId="0" borderId="10" xfId="2" applyNumberFormat="1" applyFont="1" applyBorder="1" applyAlignment="1">
      <alignment horizontal="center"/>
    </xf>
    <xf numFmtId="9" fontId="15" fillId="0" borderId="10" xfId="2" applyNumberFormat="1" applyFont="1" applyBorder="1" applyAlignment="1">
      <alignment horizontal="center"/>
    </xf>
    <xf numFmtId="0" fontId="15" fillId="0" borderId="13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/>
    </xf>
    <xf numFmtId="0" fontId="15" fillId="0" borderId="12" xfId="2" applyFont="1" applyBorder="1" applyAlignment="1">
      <alignment horizontal="center"/>
    </xf>
    <xf numFmtId="0" fontId="15" fillId="0" borderId="14" xfId="2" applyFont="1" applyBorder="1" applyAlignment="1">
      <alignment horizontal="center"/>
    </xf>
    <xf numFmtId="0" fontId="16" fillId="0" borderId="15" xfId="2" applyFont="1" applyBorder="1" applyAlignment="1">
      <alignment horizontal="center" vertical="center"/>
    </xf>
    <xf numFmtId="0" fontId="16" fillId="0" borderId="16" xfId="2" applyFont="1" applyBorder="1"/>
    <xf numFmtId="0" fontId="16" fillId="0" borderId="16" xfId="2" applyFont="1" applyBorder="1" applyAlignment="1">
      <alignment horizontal="center"/>
    </xf>
    <xf numFmtId="4" fontId="16" fillId="0" borderId="16" xfId="2" applyNumberFormat="1" applyFont="1" applyBorder="1"/>
    <xf numFmtId="4" fontId="12" fillId="0" borderId="16" xfId="2" applyNumberFormat="1" applyFont="1" applyBorder="1"/>
    <xf numFmtId="0" fontId="12" fillId="0" borderId="21" xfId="2" applyFont="1" applyBorder="1" applyAlignment="1">
      <alignment horizontal="center"/>
    </xf>
    <xf numFmtId="0" fontId="12" fillId="0" borderId="22" xfId="2" applyFont="1" applyBorder="1"/>
    <xf numFmtId="14" fontId="12" fillId="0" borderId="22" xfId="2" applyNumberFormat="1" applyFont="1" applyBorder="1"/>
    <xf numFmtId="0" fontId="12" fillId="0" borderId="22" xfId="2" applyFont="1" applyBorder="1" applyAlignment="1">
      <alignment horizontal="center"/>
    </xf>
    <xf numFmtId="0" fontId="18" fillId="0" borderId="22" xfId="2" applyFont="1" applyBorder="1"/>
    <xf numFmtId="4" fontId="12" fillId="0" borderId="22" xfId="2" applyNumberFormat="1" applyFont="1" applyBorder="1"/>
    <xf numFmtId="4" fontId="12" fillId="0" borderId="1" xfId="2" applyNumberFormat="1" applyFont="1" applyBorder="1"/>
    <xf numFmtId="4" fontId="12" fillId="0" borderId="22" xfId="2" applyNumberFormat="1" applyFont="1" applyBorder="1" applyAlignment="1">
      <alignment horizontal="right"/>
    </xf>
    <xf numFmtId="4" fontId="12" fillId="3" borderId="22" xfId="2" applyNumberFormat="1" applyFont="1" applyFill="1" applyBorder="1" applyAlignment="1">
      <alignment horizontal="right"/>
    </xf>
    <xf numFmtId="0" fontId="12" fillId="0" borderId="26" xfId="2" applyFont="1" applyBorder="1" applyAlignment="1">
      <alignment horizontal="center"/>
    </xf>
    <xf numFmtId="0" fontId="12" fillId="0" borderId="27" xfId="2" applyFont="1" applyBorder="1"/>
    <xf numFmtId="14" fontId="12" fillId="0" borderId="27" xfId="2" applyNumberFormat="1" applyFont="1" applyBorder="1"/>
    <xf numFmtId="0" fontId="12" fillId="0" borderId="27" xfId="2" applyFont="1" applyBorder="1" applyAlignment="1">
      <alignment horizontal="center"/>
    </xf>
    <xf numFmtId="0" fontId="18" fillId="0" borderId="27" xfId="2" applyFont="1" applyBorder="1"/>
    <xf numFmtId="4" fontId="12" fillId="0" borderId="27" xfId="2" applyNumberFormat="1" applyFont="1" applyBorder="1"/>
    <xf numFmtId="9" fontId="0" fillId="0" borderId="0" xfId="0" applyNumberFormat="1"/>
    <xf numFmtId="0" fontId="18" fillId="0" borderId="32" xfId="2" applyFont="1" applyBorder="1" applyAlignment="1">
      <alignment horizontal="center"/>
    </xf>
    <xf numFmtId="0" fontId="18" fillId="0" borderId="33" xfId="2" applyFont="1" applyBorder="1" applyAlignment="1">
      <alignment horizontal="center"/>
    </xf>
    <xf numFmtId="0" fontId="16" fillId="0" borderId="34" xfId="2" applyFont="1" applyBorder="1" applyAlignment="1">
      <alignment horizontal="center" vertical="center"/>
    </xf>
    <xf numFmtId="0" fontId="16" fillId="0" borderId="35" xfId="2" applyFont="1" applyBorder="1"/>
    <xf numFmtId="0" fontId="16" fillId="0" borderId="35" xfId="2" applyFont="1" applyBorder="1" applyAlignment="1">
      <alignment horizontal="center"/>
    </xf>
    <xf numFmtId="4" fontId="16" fillId="0" borderId="35" xfId="2" applyNumberFormat="1" applyFont="1" applyBorder="1"/>
    <xf numFmtId="4" fontId="20" fillId="0" borderId="41" xfId="2" applyNumberFormat="1" applyFont="1" applyBorder="1"/>
    <xf numFmtId="4" fontId="12" fillId="0" borderId="41" xfId="2" applyNumberFormat="1" applyFont="1" applyBorder="1"/>
    <xf numFmtId="0" fontId="18" fillId="0" borderId="0" xfId="2" applyFont="1"/>
    <xf numFmtId="0" fontId="11" fillId="0" borderId="0" xfId="2" applyFont="1" applyAlignment="1">
      <alignment horizontal="center" vertical="center"/>
    </xf>
    <xf numFmtId="4" fontId="12" fillId="0" borderId="0" xfId="2" applyNumberFormat="1" applyFont="1"/>
    <xf numFmtId="4" fontId="10" fillId="0" borderId="0" xfId="2" applyNumberFormat="1"/>
    <xf numFmtId="9" fontId="12" fillId="0" borderId="0" xfId="3" applyFont="1" applyFill="1" applyBorder="1"/>
    <xf numFmtId="9" fontId="12" fillId="0" borderId="0" xfId="2" applyNumberFormat="1" applyFont="1"/>
    <xf numFmtId="0" fontId="12" fillId="0" borderId="2" xfId="2" applyFont="1" applyBorder="1"/>
    <xf numFmtId="0" fontId="15" fillId="0" borderId="42" xfId="2" applyFont="1" applyBorder="1"/>
    <xf numFmtId="0" fontId="11" fillId="0" borderId="42" xfId="2" applyFont="1" applyBorder="1"/>
    <xf numFmtId="0" fontId="15" fillId="0" borderId="0" xfId="2" applyFont="1"/>
    <xf numFmtId="10" fontId="15" fillId="5" borderId="10" xfId="2" applyNumberFormat="1" applyFont="1" applyFill="1" applyBorder="1" applyAlignment="1">
      <alignment horizontal="center"/>
    </xf>
    <xf numFmtId="0" fontId="15" fillId="5" borderId="10" xfId="2" applyFont="1" applyFill="1" applyBorder="1" applyAlignment="1">
      <alignment horizontal="center"/>
    </xf>
    <xf numFmtId="9" fontId="15" fillId="5" borderId="10" xfId="2" applyNumberFormat="1" applyFont="1" applyFill="1" applyBorder="1" applyAlignment="1">
      <alignment horizontal="center"/>
    </xf>
    <xf numFmtId="4" fontId="12" fillId="5" borderId="16" xfId="2" applyNumberFormat="1" applyFont="1" applyFill="1" applyBorder="1"/>
    <xf numFmtId="4" fontId="16" fillId="5" borderId="16" xfId="2" applyNumberFormat="1" applyFont="1" applyFill="1" applyBorder="1"/>
    <xf numFmtId="4" fontId="16" fillId="4" borderId="16" xfId="2" applyNumberFormat="1" applyFont="1" applyFill="1" applyBorder="1"/>
    <xf numFmtId="4" fontId="12" fillId="5" borderId="22" xfId="2" applyNumberFormat="1" applyFont="1" applyFill="1" applyBorder="1" applyAlignment="1">
      <alignment horizontal="right"/>
    </xf>
    <xf numFmtId="4" fontId="12" fillId="4" borderId="22" xfId="2" applyNumberFormat="1" applyFont="1" applyFill="1" applyBorder="1" applyAlignment="1">
      <alignment horizontal="right"/>
    </xf>
    <xf numFmtId="4" fontId="12" fillId="5" borderId="1" xfId="2" applyNumberFormat="1" applyFont="1" applyFill="1" applyBorder="1"/>
    <xf numFmtId="4" fontId="16" fillId="5" borderId="35" xfId="2" applyNumberFormat="1" applyFont="1" applyFill="1" applyBorder="1"/>
    <xf numFmtId="4" fontId="16" fillId="4" borderId="35" xfId="2" applyNumberFormat="1" applyFont="1" applyFill="1" applyBorder="1"/>
    <xf numFmtId="4" fontId="12" fillId="5" borderId="41" xfId="2" applyNumberFormat="1" applyFont="1" applyFill="1" applyBorder="1"/>
    <xf numFmtId="4" fontId="12" fillId="4" borderId="41" xfId="2" applyNumberFormat="1" applyFont="1" applyFill="1" applyBorder="1"/>
    <xf numFmtId="10" fontId="15" fillId="4" borderId="10" xfId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9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4" fontId="0" fillId="3" borderId="1" xfId="0" applyNumberFormat="1" applyFill="1" applyBorder="1"/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0" fontId="0" fillId="0" borderId="1" xfId="0" applyBorder="1" applyAlignment="1">
      <alignment horizontal="center"/>
    </xf>
    <xf numFmtId="4" fontId="0" fillId="6" borderId="1" xfId="0" applyNumberFormat="1" applyFill="1" applyBorder="1"/>
    <xf numFmtId="4" fontId="1" fillId="6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8" fillId="0" borderId="0" xfId="0" applyFont="1"/>
    <xf numFmtId="4" fontId="8" fillId="0" borderId="0" xfId="0" applyNumberFormat="1" applyFont="1"/>
    <xf numFmtId="0" fontId="22" fillId="0" borderId="0" xfId="0" applyFont="1"/>
    <xf numFmtId="4" fontId="23" fillId="0" borderId="0" xfId="0" applyNumberFormat="1" applyFont="1"/>
    <xf numFmtId="4" fontId="1" fillId="0" borderId="2" xfId="0" applyNumberFormat="1" applyFont="1" applyBorder="1"/>
    <xf numFmtId="4" fontId="1" fillId="0" borderId="45" xfId="0" applyNumberFormat="1" applyFont="1" applyBorder="1"/>
    <xf numFmtId="4" fontId="1" fillId="2" borderId="45" xfId="0" applyNumberFormat="1" applyFont="1" applyFill="1" applyBorder="1"/>
    <xf numFmtId="4" fontId="8" fillId="0" borderId="2" xfId="0" applyNumberFormat="1" applyFont="1" applyBorder="1"/>
    <xf numFmtId="0" fontId="0" fillId="8" borderId="1" xfId="0" applyFill="1" applyBorder="1"/>
    <xf numFmtId="4" fontId="0" fillId="8" borderId="1" xfId="0" applyNumberFormat="1" applyFill="1" applyBorder="1"/>
    <xf numFmtId="0" fontId="0" fillId="8" borderId="1" xfId="0" applyFill="1" applyBorder="1" applyAlignment="1">
      <alignment horizontal="right"/>
    </xf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/>
    <xf numFmtId="0" fontId="0" fillId="8" borderId="1" xfId="0" applyFill="1" applyBorder="1" applyAlignment="1">
      <alignment horizontal="left"/>
    </xf>
    <xf numFmtId="4" fontId="0" fillId="8" borderId="0" xfId="0" applyNumberFormat="1" applyFill="1"/>
    <xf numFmtId="0" fontId="0" fillId="8" borderId="46" xfId="0" applyFill="1" applyBorder="1"/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8" borderId="0" xfId="0" applyFill="1"/>
    <xf numFmtId="4" fontId="1" fillId="8" borderId="0" xfId="0" applyNumberFormat="1" applyFont="1" applyFill="1"/>
    <xf numFmtId="0" fontId="1" fillId="8" borderId="0" xfId="0" applyFont="1" applyFill="1"/>
    <xf numFmtId="4" fontId="0" fillId="8" borderId="43" xfId="0" applyNumberFormat="1" applyFill="1" applyBorder="1"/>
    <xf numFmtId="4" fontId="0" fillId="8" borderId="44" xfId="0" applyNumberFormat="1" applyFill="1" applyBorder="1"/>
    <xf numFmtId="4" fontId="0" fillId="8" borderId="0" xfId="0" applyNumberFormat="1" applyFill="1" applyBorder="1"/>
    <xf numFmtId="4" fontId="0" fillId="8" borderId="30" xfId="0" applyNumberFormat="1" applyFill="1" applyBorder="1"/>
    <xf numFmtId="4" fontId="0" fillId="8" borderId="29" xfId="0" applyNumberFormat="1" applyFill="1" applyBorder="1"/>
    <xf numFmtId="4" fontId="0" fillId="8" borderId="24" xfId="0" applyNumberFormat="1" applyFill="1" applyBorder="1"/>
    <xf numFmtId="4" fontId="0" fillId="8" borderId="2" xfId="0" applyNumberFormat="1" applyFill="1" applyBorder="1"/>
    <xf numFmtId="4" fontId="1" fillId="8" borderId="2" xfId="0" applyNumberFormat="1" applyFont="1" applyFill="1" applyBorder="1" applyAlignment="1"/>
    <xf numFmtId="4" fontId="1" fillId="8" borderId="0" xfId="0" applyNumberFormat="1" applyFont="1" applyFill="1" applyBorder="1" applyAlignment="1"/>
    <xf numFmtId="4" fontId="1" fillId="8" borderId="24" xfId="0" applyNumberFormat="1" applyFont="1" applyFill="1" applyBorder="1"/>
    <xf numFmtId="4" fontId="0" fillId="8" borderId="2" xfId="0" applyNumberFormat="1" applyFont="1" applyFill="1" applyBorder="1"/>
    <xf numFmtId="4" fontId="0" fillId="10" borderId="0" xfId="0" applyNumberFormat="1" applyFill="1" applyBorder="1"/>
    <xf numFmtId="4" fontId="0" fillId="10" borderId="0" xfId="0" applyNumberFormat="1" applyFill="1"/>
    <xf numFmtId="4" fontId="0" fillId="10" borderId="44" xfId="0" applyNumberFormat="1" applyFill="1" applyBorder="1"/>
    <xf numFmtId="4" fontId="8" fillId="8" borderId="1" xfId="0" applyNumberFormat="1" applyFont="1" applyFill="1" applyBorder="1"/>
    <xf numFmtId="4" fontId="24" fillId="8" borderId="1" xfId="0" applyNumberFormat="1" applyFont="1" applyFill="1" applyBorder="1"/>
    <xf numFmtId="4" fontId="8" fillId="10" borderId="1" xfId="0" applyNumberFormat="1" applyFont="1" applyFill="1" applyBorder="1"/>
    <xf numFmtId="0" fontId="1" fillId="0" borderId="0" xfId="0" applyFont="1" applyAlignment="1">
      <alignment horizontal="center"/>
    </xf>
    <xf numFmtId="4" fontId="1" fillId="8" borderId="2" xfId="0" applyNumberFormat="1" applyFont="1" applyFill="1" applyBorder="1" applyAlignment="1">
      <alignment horizontal="center"/>
    </xf>
    <xf numFmtId="4" fontId="1" fillId="8" borderId="0" xfId="0" applyNumberFormat="1" applyFont="1" applyFill="1" applyBorder="1" applyAlignment="1">
      <alignment horizontal="center"/>
    </xf>
    <xf numFmtId="4" fontId="21" fillId="8" borderId="2" xfId="0" applyNumberFormat="1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5" fillId="0" borderId="6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 wrapText="1"/>
    </xf>
    <xf numFmtId="0" fontId="15" fillId="0" borderId="11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10" xfId="2" applyFont="1" applyBorder="1" applyAlignment="1">
      <alignment horizontal="center" vertical="center" wrapText="1"/>
    </xf>
    <xf numFmtId="0" fontId="15" fillId="0" borderId="14" xfId="2" applyFont="1" applyBorder="1" applyAlignment="1">
      <alignment horizontal="center" vertical="center" wrapText="1"/>
    </xf>
    <xf numFmtId="0" fontId="12" fillId="0" borderId="0" xfId="2" applyFont="1" applyAlignment="1">
      <alignment horizontal="left"/>
    </xf>
    <xf numFmtId="0" fontId="14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6" fillId="0" borderId="17" xfId="2" applyFont="1" applyBorder="1" applyAlignment="1">
      <alignment horizontal="left"/>
    </xf>
    <xf numFmtId="0" fontId="16" fillId="0" borderId="18" xfId="2" applyFont="1" applyBorder="1" applyAlignment="1">
      <alignment horizontal="left"/>
    </xf>
    <xf numFmtId="0" fontId="16" fillId="0" borderId="19" xfId="2" applyFont="1" applyBorder="1" applyAlignment="1">
      <alignment horizontal="left"/>
    </xf>
    <xf numFmtId="0" fontId="17" fillId="0" borderId="16" xfId="2" applyFont="1" applyBorder="1" applyAlignment="1">
      <alignment horizontal="center"/>
    </xf>
    <xf numFmtId="0" fontId="17" fillId="0" borderId="20" xfId="2" applyFont="1" applyBorder="1" applyAlignment="1">
      <alignment horizontal="center"/>
    </xf>
    <xf numFmtId="0" fontId="15" fillId="0" borderId="4" xfId="2" applyFont="1" applyBorder="1" applyAlignment="1">
      <alignment horizontal="center"/>
    </xf>
    <xf numFmtId="0" fontId="15" fillId="0" borderId="5" xfId="2" applyFont="1" applyBorder="1" applyAlignment="1">
      <alignment horizontal="center"/>
    </xf>
    <xf numFmtId="0" fontId="15" fillId="0" borderId="7" xfId="2" applyFont="1" applyBorder="1" applyAlignment="1">
      <alignment horizontal="center"/>
    </xf>
    <xf numFmtId="0" fontId="10" fillId="0" borderId="10" xfId="2" applyBorder="1" applyAlignment="1">
      <alignment horizontal="center" vertical="center" wrapText="1"/>
    </xf>
    <xf numFmtId="0" fontId="15" fillId="0" borderId="14" xfId="2" applyFont="1" applyBorder="1" applyAlignment="1">
      <alignment horizontal="center" vertical="center"/>
    </xf>
    <xf numFmtId="0" fontId="10" fillId="0" borderId="14" xfId="2" applyBorder="1" applyAlignment="1">
      <alignment horizontal="center" vertical="center" wrapText="1"/>
    </xf>
    <xf numFmtId="0" fontId="10" fillId="0" borderId="8" xfId="2" applyBorder="1" applyAlignment="1">
      <alignment horizontal="center" vertical="center" wrapText="1"/>
    </xf>
    <xf numFmtId="0" fontId="10" fillId="0" borderId="11" xfId="2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 wrapText="1"/>
    </xf>
    <xf numFmtId="0" fontId="15" fillId="0" borderId="13" xfId="2" applyFont="1" applyBorder="1" applyAlignment="1">
      <alignment horizontal="center" vertical="center" wrapText="1"/>
    </xf>
    <xf numFmtId="0" fontId="12" fillId="0" borderId="23" xfId="2" applyFont="1" applyBorder="1" applyAlignment="1">
      <alignment horizontal="left"/>
    </xf>
    <xf numFmtId="0" fontId="12" fillId="0" borderId="2" xfId="2" applyFont="1" applyBorder="1" applyAlignment="1">
      <alignment horizontal="left"/>
    </xf>
    <xf numFmtId="0" fontId="12" fillId="0" borderId="24" xfId="2" applyFont="1" applyBorder="1" applyAlignment="1">
      <alignment horizontal="left"/>
    </xf>
    <xf numFmtId="0" fontId="18" fillId="0" borderId="23" xfId="2" applyFont="1" applyBorder="1" applyAlignment="1">
      <alignment horizontal="center"/>
    </xf>
    <xf numFmtId="0" fontId="18" fillId="0" borderId="25" xfId="2" applyFont="1" applyBorder="1" applyAlignment="1">
      <alignment horizontal="center"/>
    </xf>
    <xf numFmtId="0" fontId="12" fillId="0" borderId="28" xfId="2" applyFont="1" applyBorder="1" applyAlignment="1">
      <alignment horizontal="left"/>
    </xf>
    <xf numFmtId="0" fontId="12" fillId="0" borderId="29" xfId="2" applyFont="1" applyBorder="1" applyAlignment="1">
      <alignment horizontal="left"/>
    </xf>
    <xf numFmtId="0" fontId="12" fillId="0" borderId="30" xfId="2" applyFont="1" applyBorder="1" applyAlignment="1">
      <alignment horizontal="left"/>
    </xf>
    <xf numFmtId="0" fontId="18" fillId="0" borderId="28" xfId="2" applyFont="1" applyBorder="1" applyAlignment="1">
      <alignment horizontal="center"/>
    </xf>
    <xf numFmtId="0" fontId="18" fillId="0" borderId="31" xfId="2" applyFont="1" applyBorder="1" applyAlignment="1">
      <alignment horizontal="center"/>
    </xf>
    <xf numFmtId="0" fontId="16" fillId="0" borderId="36" xfId="2" applyFont="1" applyBorder="1" applyAlignment="1">
      <alignment horizontal="left"/>
    </xf>
    <xf numFmtId="0" fontId="16" fillId="0" borderId="37" xfId="2" applyFont="1" applyBorder="1" applyAlignment="1">
      <alignment horizontal="left"/>
    </xf>
    <xf numFmtId="0" fontId="16" fillId="0" borderId="38" xfId="2" applyFont="1" applyBorder="1" applyAlignment="1">
      <alignment horizontal="left"/>
    </xf>
    <xf numFmtId="0" fontId="17" fillId="0" borderId="35" xfId="2" applyFont="1" applyBorder="1" applyAlignment="1">
      <alignment horizontal="center"/>
    </xf>
    <xf numFmtId="0" fontId="17" fillId="0" borderId="39" xfId="2" applyFont="1" applyBorder="1" applyAlignment="1">
      <alignment horizontal="center"/>
    </xf>
    <xf numFmtId="0" fontId="19" fillId="0" borderId="40" xfId="2" applyFont="1" applyBorder="1" applyAlignment="1">
      <alignment horizontal="center" vertical="center"/>
    </xf>
    <xf numFmtId="0" fontId="19" fillId="0" borderId="7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/>
    </xf>
    <xf numFmtId="0" fontId="15" fillId="0" borderId="0" xfId="2" applyFont="1" applyAlignment="1">
      <alignment horizontal="center"/>
    </xf>
    <xf numFmtId="0" fontId="15" fillId="0" borderId="42" xfId="2" applyFont="1" applyBorder="1" applyAlignment="1">
      <alignment horizontal="center"/>
    </xf>
    <xf numFmtId="0" fontId="15" fillId="4" borderId="6" xfId="2" applyFont="1" applyFill="1" applyBorder="1" applyAlignment="1">
      <alignment horizontal="center" vertical="center" wrapText="1"/>
    </xf>
    <xf numFmtId="0" fontId="10" fillId="4" borderId="10" xfId="2" applyFill="1" applyBorder="1" applyAlignment="1">
      <alignment horizontal="center" vertical="center" wrapText="1"/>
    </xf>
    <xf numFmtId="0" fontId="15" fillId="5" borderId="6" xfId="2" applyFont="1" applyFill="1" applyBorder="1" applyAlignment="1">
      <alignment horizontal="center" vertical="center" wrapText="1"/>
    </xf>
    <xf numFmtId="0" fontId="15" fillId="5" borderId="10" xfId="2" applyFont="1" applyFill="1" applyBorder="1" applyAlignment="1">
      <alignment horizontal="center" vertical="center" wrapText="1"/>
    </xf>
    <xf numFmtId="0" fontId="10" fillId="5" borderId="10" xfId="2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 vertical="center"/>
    </xf>
    <xf numFmtId="4" fontId="1" fillId="11" borderId="1" xfId="0" applyNumberFormat="1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 vertical="center"/>
    </xf>
    <xf numFmtId="4" fontId="1" fillId="11" borderId="1" xfId="0" applyNumberFormat="1" applyFont="1" applyFill="1" applyBorder="1" applyAlignment="1">
      <alignment horizontal="center"/>
    </xf>
    <xf numFmtId="4" fontId="0" fillId="12" borderId="1" xfId="0" applyNumberFormat="1" applyFill="1" applyBorder="1"/>
    <xf numFmtId="4" fontId="1" fillId="12" borderId="1" xfId="0" applyNumberFormat="1" applyFont="1" applyFill="1" applyBorder="1"/>
    <xf numFmtId="4" fontId="0" fillId="13" borderId="1" xfId="0" applyNumberFormat="1" applyFill="1" applyBorder="1"/>
    <xf numFmtId="4" fontId="1" fillId="13" borderId="1" xfId="0" applyNumberFormat="1" applyFont="1" applyFill="1" applyBorder="1"/>
  </cellXfs>
  <cellStyles count="4">
    <cellStyle name="Normal" xfId="0" builtinId="0"/>
    <cellStyle name="Normal 2" xfId="2" xr:uid="{3DF06CC8-C8A3-4B35-AD4B-FA73DAABE324}"/>
    <cellStyle name="Porcentaje" xfId="1" builtinId="5"/>
    <cellStyle name="Porcentaje 2" xfId="3" xr:uid="{B44C20B0-84AD-45C3-90DD-8F9F63D22666}"/>
  </cellStyles>
  <dxfs count="0"/>
  <tableStyles count="0" defaultTableStyle="TableStyleMedium2" defaultPivotStyle="PivotStyleLight16"/>
  <colors>
    <mruColors>
      <color rgb="FF339966"/>
      <color rgb="FFFF5050"/>
      <color rgb="FFCC3399"/>
      <color rgb="FF993366"/>
      <color rgb="FF339933"/>
      <color rgb="FFFF9999"/>
      <color rgb="FFCC9900"/>
      <color rgb="FFFF9966"/>
      <color rgb="FF33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268941</xdr:colOff>
      <xdr:row>18</xdr:row>
      <xdr:rowOff>89647</xdr:rowOff>
    </xdr:from>
    <xdr:to>
      <xdr:col>5</xdr:col>
      <xdr:colOff>593912</xdr:colOff>
      <xdr:row>39</xdr:row>
      <xdr:rowOff>179294</xdr:rowOff>
    </xdr:to>
    <xdr:sp macro="" textlink="">
      <xdr:nvSpPr>
        <xdr:cNvPr id="2" name="Flecha: curvada hacia la izquierda 1">
          <a:extLst>
            <a:ext uri="{FF2B5EF4-FFF2-40B4-BE49-F238E27FC236}">
              <a16:creationId xmlns:a16="http://schemas.microsoft.com/office/drawing/2014/main" id="{30BAFBAB-D5BA-55F2-B93F-1D9502C5C954}"/>
            </a:ext>
          </a:extLst>
        </xdr:cNvPr>
        <xdr:cNvSpPr/>
      </xdr:nvSpPr>
      <xdr:spPr>
        <a:xfrm>
          <a:off x="4370294" y="3182471"/>
          <a:ext cx="1086971" cy="3653117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9168/Downloads/actividad_4%20Joel%20Mira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de cuentas"/>
      <sheetName val="Blce. Apertura"/>
      <sheetName val="Libro Diario 1"/>
      <sheetName val="Mayores"/>
      <sheetName val="Hoja1"/>
      <sheetName val="BCSS"/>
      <sheetName val="FACTURA"/>
      <sheetName val="PLLA SUELDOS"/>
      <sheetName val="AP. Y BENEFICIOS"/>
      <sheetName val="HOJA DE TRABAJO"/>
      <sheetName val="ER"/>
      <sheetName val="BG"/>
    </sheetNames>
    <sheetDataSet>
      <sheetData sheetId="0"/>
      <sheetData sheetId="1"/>
      <sheetData sheetId="2"/>
      <sheetData sheetId="3">
        <row r="3">
          <cell r="A3" t="str">
            <v>CAJA M/N</v>
          </cell>
          <cell r="D3" t="str">
            <v>BANCO UNIÓN M/N</v>
          </cell>
          <cell r="G3" t="str">
            <v>INV. DE MERCADERIAS</v>
          </cell>
          <cell r="J3" t="str">
            <v>VEHICULOS</v>
          </cell>
          <cell r="M3" t="str">
            <v>EQUIPOS DE COMP.</v>
          </cell>
        </row>
        <row r="5">
          <cell r="M5">
            <v>3000</v>
          </cell>
        </row>
        <row r="6">
          <cell r="J6">
            <v>22000</v>
          </cell>
        </row>
        <row r="7">
          <cell r="G7">
            <v>15535</v>
          </cell>
        </row>
        <row r="10">
          <cell r="A10">
            <v>22960</v>
          </cell>
          <cell r="B10">
            <v>34887.699999999997</v>
          </cell>
        </row>
        <row r="14">
          <cell r="A14" t="str">
            <v>DOCUMENTOS POR PAGAR</v>
          </cell>
          <cell r="D14" t="str">
            <v>CUENTAS POR PAGAR</v>
          </cell>
          <cell r="G14" t="str">
            <v>CAPITAL SOCIAL</v>
          </cell>
          <cell r="J14" t="str">
            <v xml:space="preserve">DOCUMEN. POR COBRAR </v>
          </cell>
          <cell r="M14" t="str">
            <v>IMP. A LAS TRANSACCIONES</v>
          </cell>
        </row>
        <row r="16">
          <cell r="B16">
            <v>4000</v>
          </cell>
          <cell r="H16">
            <v>20900</v>
          </cell>
          <cell r="J16">
            <v>5640</v>
          </cell>
        </row>
        <row r="18">
          <cell r="D18">
            <v>3840</v>
          </cell>
          <cell r="E18">
            <v>8840</v>
          </cell>
          <cell r="M18">
            <v>756</v>
          </cell>
        </row>
        <row r="23">
          <cell r="A23" t="str">
            <v>VENTAS</v>
          </cell>
          <cell r="D23" t="str">
            <v>DEBITO FISCAL</v>
          </cell>
          <cell r="G23" t="str">
            <v>I.T. POR PAGAR</v>
          </cell>
          <cell r="J23" t="str">
            <v>CREDITO FISCAL</v>
          </cell>
          <cell r="M23" t="str">
            <v>SUELDOS Y SALARIOS</v>
          </cell>
        </row>
        <row r="25">
          <cell r="M25">
            <v>13000</v>
          </cell>
        </row>
        <row r="27">
          <cell r="B27">
            <v>21924</v>
          </cell>
          <cell r="H27">
            <v>756</v>
          </cell>
          <cell r="J27">
            <v>1664</v>
          </cell>
        </row>
        <row r="28">
          <cell r="E28">
            <v>3296.8</v>
          </cell>
        </row>
        <row r="30">
          <cell r="A30" t="str">
            <v>APORTE LAB. GEST. POR PAGAR</v>
          </cell>
          <cell r="D30" t="str">
            <v xml:space="preserve">APORTES PATRO. GESTORA </v>
          </cell>
          <cell r="G30" t="str">
            <v>CAJA DE SALUD</v>
          </cell>
          <cell r="J30" t="str">
            <v>AGUINALDOS</v>
          </cell>
          <cell r="M30" t="str">
            <v>INDEMNIZACION</v>
          </cell>
        </row>
        <row r="32">
          <cell r="B32">
            <v>1652.3</v>
          </cell>
          <cell r="D32">
            <v>872.3</v>
          </cell>
          <cell r="G32">
            <v>1300</v>
          </cell>
          <cell r="J32">
            <v>1083.33</v>
          </cell>
          <cell r="M32">
            <v>1083.33</v>
          </cell>
        </row>
        <row r="37">
          <cell r="A37" t="str">
            <v>PRIMAS</v>
          </cell>
          <cell r="D37" t="str">
            <v>APOR.PAT.GEST.POR PAGAR</v>
          </cell>
          <cell r="G37" t="str">
            <v>CAJA SALUD. POR PAGAR</v>
          </cell>
        </row>
        <row r="38">
          <cell r="E38">
            <v>872.3</v>
          </cell>
          <cell r="K38">
            <v>1083.33</v>
          </cell>
          <cell r="N38">
            <v>1083.33</v>
          </cell>
        </row>
        <row r="39">
          <cell r="A39">
            <v>1083.33</v>
          </cell>
        </row>
        <row r="42">
          <cell r="G42">
            <v>0</v>
          </cell>
          <cell r="H42">
            <v>1300</v>
          </cell>
        </row>
        <row r="46">
          <cell r="B46">
            <v>1083.33</v>
          </cell>
          <cell r="D46">
            <v>500</v>
          </cell>
          <cell r="G46">
            <v>2001</v>
          </cell>
          <cell r="K46">
            <v>139.19999999999999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8"/>
  <sheetViews>
    <sheetView zoomScale="115" zoomScaleNormal="115" workbookViewId="0">
      <selection activeCell="B30" sqref="B30"/>
    </sheetView>
  </sheetViews>
  <sheetFormatPr baseColWidth="10" defaultRowHeight="14.4" x14ac:dyDescent="0.3"/>
  <cols>
    <col min="1" max="1" width="11.44140625" style="2"/>
    <col min="2" max="2" width="53.88671875" bestFit="1" customWidth="1"/>
    <col min="3" max="3" width="20.33203125" hidden="1" customWidth="1"/>
    <col min="4" max="5" width="0" hidden="1" customWidth="1"/>
    <col min="6" max="6" width="0" style="1" hidden="1" customWidth="1"/>
    <col min="7" max="7" width="22.6640625" hidden="1" customWidth="1"/>
  </cols>
  <sheetData>
    <row r="1" spans="1:7" x14ac:dyDescent="0.3">
      <c r="A1" s="4" t="s">
        <v>50</v>
      </c>
      <c r="B1" s="3" t="s">
        <v>51</v>
      </c>
      <c r="C1" s="3" t="s">
        <v>52</v>
      </c>
      <c r="F1" s="9">
        <v>0</v>
      </c>
      <c r="G1" t="s">
        <v>232</v>
      </c>
    </row>
    <row r="2" spans="1:7" x14ac:dyDescent="0.3">
      <c r="A2" s="10">
        <v>1</v>
      </c>
      <c r="B2" s="11" t="s">
        <v>0</v>
      </c>
      <c r="C2" s="8"/>
      <c r="F2" s="9">
        <v>1</v>
      </c>
      <c r="G2" t="s">
        <v>229</v>
      </c>
    </row>
    <row r="3" spans="1:7" x14ac:dyDescent="0.3">
      <c r="A3" s="4">
        <v>101</v>
      </c>
      <c r="B3" s="3" t="s">
        <v>1</v>
      </c>
      <c r="C3" s="8"/>
      <c r="F3" s="9">
        <v>2</v>
      </c>
      <c r="G3" t="s">
        <v>8</v>
      </c>
    </row>
    <row r="4" spans="1:7" x14ac:dyDescent="0.3">
      <c r="A4" s="4">
        <v>10101</v>
      </c>
      <c r="B4" s="3" t="s">
        <v>53</v>
      </c>
      <c r="C4" s="8"/>
      <c r="F4" s="9">
        <v>3</v>
      </c>
      <c r="G4" t="s">
        <v>230</v>
      </c>
    </row>
    <row r="5" spans="1:7" x14ac:dyDescent="0.3">
      <c r="A5" s="2">
        <v>10101001</v>
      </c>
      <c r="B5" s="5" t="s">
        <v>250</v>
      </c>
      <c r="C5" s="8">
        <v>4</v>
      </c>
      <c r="F5" s="9">
        <v>4</v>
      </c>
      <c r="G5" t="s">
        <v>231</v>
      </c>
    </row>
    <row r="6" spans="1:7" x14ac:dyDescent="0.3">
      <c r="A6" s="4">
        <v>10102</v>
      </c>
      <c r="B6" s="3" t="s">
        <v>54</v>
      </c>
      <c r="C6" s="8"/>
    </row>
    <row r="7" spans="1:7" x14ac:dyDescent="0.3">
      <c r="A7" s="2">
        <v>10102001</v>
      </c>
      <c r="B7" s="5" t="s">
        <v>242</v>
      </c>
      <c r="C7" s="8">
        <v>4</v>
      </c>
    </row>
    <row r="8" spans="1:7" x14ac:dyDescent="0.3">
      <c r="A8" s="4">
        <v>10103</v>
      </c>
      <c r="B8" s="3" t="s">
        <v>55</v>
      </c>
      <c r="C8" s="8"/>
    </row>
    <row r="9" spans="1:7" x14ac:dyDescent="0.3">
      <c r="A9" s="2">
        <v>10103001</v>
      </c>
      <c r="B9" s="5" t="s">
        <v>233</v>
      </c>
      <c r="C9" s="8">
        <v>4</v>
      </c>
    </row>
    <row r="10" spans="1:7" x14ac:dyDescent="0.3">
      <c r="A10" s="2">
        <v>10103002</v>
      </c>
      <c r="B10" s="5" t="s">
        <v>234</v>
      </c>
      <c r="C10" s="8">
        <v>4</v>
      </c>
    </row>
    <row r="11" spans="1:7" x14ac:dyDescent="0.3">
      <c r="A11" s="2">
        <v>10103003</v>
      </c>
      <c r="B11" s="5" t="s">
        <v>221</v>
      </c>
      <c r="C11" s="8">
        <v>4</v>
      </c>
    </row>
    <row r="12" spans="1:7" x14ac:dyDescent="0.3">
      <c r="A12" s="2">
        <v>10103004</v>
      </c>
      <c r="B12" s="5" t="s">
        <v>222</v>
      </c>
      <c r="C12" s="8">
        <v>4</v>
      </c>
    </row>
    <row r="13" spans="1:7" x14ac:dyDescent="0.3">
      <c r="A13" s="4">
        <v>10104</v>
      </c>
      <c r="B13" s="3" t="s">
        <v>55</v>
      </c>
      <c r="C13" s="8"/>
    </row>
    <row r="14" spans="1:7" x14ac:dyDescent="0.3">
      <c r="A14" s="2">
        <v>10104001</v>
      </c>
      <c r="B14" s="5" t="s">
        <v>254</v>
      </c>
      <c r="C14" s="8">
        <v>4</v>
      </c>
    </row>
    <row r="15" spans="1:7" x14ac:dyDescent="0.3">
      <c r="A15" s="2">
        <v>10104002</v>
      </c>
      <c r="B15" s="5" t="s">
        <v>255</v>
      </c>
      <c r="C15" s="8">
        <v>4</v>
      </c>
    </row>
    <row r="16" spans="1:7" x14ac:dyDescent="0.3">
      <c r="A16" s="4">
        <v>102</v>
      </c>
      <c r="B16" s="3" t="s">
        <v>2</v>
      </c>
      <c r="C16" s="8"/>
    </row>
    <row r="17" spans="1:3" x14ac:dyDescent="0.3">
      <c r="A17" s="4">
        <v>10201</v>
      </c>
      <c r="B17" s="3" t="s">
        <v>245</v>
      </c>
      <c r="C17" s="8"/>
    </row>
    <row r="18" spans="1:3" x14ac:dyDescent="0.3">
      <c r="A18" s="2">
        <v>10201001</v>
      </c>
      <c r="B18" s="5" t="s">
        <v>246</v>
      </c>
      <c r="C18" s="8">
        <v>1</v>
      </c>
    </row>
    <row r="19" spans="1:3" x14ac:dyDescent="0.3">
      <c r="A19" s="4">
        <v>10203</v>
      </c>
      <c r="B19" s="3" t="s">
        <v>3</v>
      </c>
      <c r="C19" s="8"/>
    </row>
    <row r="20" spans="1:3" x14ac:dyDescent="0.3">
      <c r="A20" s="2">
        <v>10203001</v>
      </c>
      <c r="B20" t="s">
        <v>56</v>
      </c>
      <c r="C20" s="8">
        <v>1</v>
      </c>
    </row>
    <row r="21" spans="1:3" x14ac:dyDescent="0.3">
      <c r="A21" s="2">
        <v>10203005</v>
      </c>
      <c r="B21" t="s">
        <v>235</v>
      </c>
      <c r="C21" s="8">
        <v>1</v>
      </c>
    </row>
    <row r="22" spans="1:3" x14ac:dyDescent="0.3">
      <c r="A22" s="4">
        <v>10204</v>
      </c>
      <c r="B22" s="3" t="s">
        <v>57</v>
      </c>
      <c r="C22" s="8"/>
    </row>
    <row r="23" spans="1:3" x14ac:dyDescent="0.3">
      <c r="A23" s="2">
        <v>10204001</v>
      </c>
      <c r="B23" s="5" t="s">
        <v>223</v>
      </c>
      <c r="C23" s="8">
        <v>1</v>
      </c>
    </row>
    <row r="24" spans="1:3" x14ac:dyDescent="0.3">
      <c r="A24" s="2">
        <v>10204002</v>
      </c>
      <c r="B24" s="5" t="s">
        <v>224</v>
      </c>
      <c r="C24" s="8">
        <v>1</v>
      </c>
    </row>
    <row r="25" spans="1:3" x14ac:dyDescent="0.3">
      <c r="A25" s="2">
        <v>10204003</v>
      </c>
      <c r="B25" s="5" t="s">
        <v>225</v>
      </c>
      <c r="C25" s="8">
        <v>1</v>
      </c>
    </row>
    <row r="26" spans="1:3" x14ac:dyDescent="0.3">
      <c r="A26" s="2">
        <v>10204004</v>
      </c>
      <c r="B26" s="5" t="s">
        <v>226</v>
      </c>
      <c r="C26" s="8">
        <v>1</v>
      </c>
    </row>
    <row r="27" spans="1:3" x14ac:dyDescent="0.3">
      <c r="A27" s="4">
        <v>10205</v>
      </c>
      <c r="B27" s="3" t="s">
        <v>58</v>
      </c>
      <c r="C27" s="8"/>
    </row>
    <row r="28" spans="1:3" x14ac:dyDescent="0.3">
      <c r="A28" s="2">
        <v>10205001</v>
      </c>
      <c r="B28" s="5" t="s">
        <v>59</v>
      </c>
      <c r="C28" s="8">
        <v>1</v>
      </c>
    </row>
    <row r="29" spans="1:3" x14ac:dyDescent="0.3">
      <c r="A29" s="4">
        <v>10206</v>
      </c>
      <c r="B29" s="3" t="s">
        <v>60</v>
      </c>
      <c r="C29" s="8"/>
    </row>
    <row r="30" spans="1:3" x14ac:dyDescent="0.3">
      <c r="A30" s="22">
        <v>10206001</v>
      </c>
      <c r="B30" s="23" t="s">
        <v>241</v>
      </c>
      <c r="C30" s="8">
        <v>1</v>
      </c>
    </row>
    <row r="31" spans="1:3" x14ac:dyDescent="0.3">
      <c r="A31" s="2">
        <v>10206002</v>
      </c>
      <c r="B31" s="5" t="s">
        <v>61</v>
      </c>
      <c r="C31" s="8">
        <v>1</v>
      </c>
    </row>
    <row r="32" spans="1:3" x14ac:dyDescent="0.3">
      <c r="A32" s="4">
        <v>10207</v>
      </c>
      <c r="B32" s="3" t="s">
        <v>62</v>
      </c>
      <c r="C32" s="8"/>
    </row>
    <row r="33" spans="1:3" x14ac:dyDescent="0.3">
      <c r="A33" s="2">
        <v>10207001</v>
      </c>
      <c r="B33" t="s">
        <v>63</v>
      </c>
      <c r="C33" s="8">
        <v>1</v>
      </c>
    </row>
    <row r="34" spans="1:3" x14ac:dyDescent="0.3">
      <c r="A34" s="4">
        <v>103</v>
      </c>
      <c r="B34" s="3" t="s">
        <v>4</v>
      </c>
      <c r="C34" s="8"/>
    </row>
    <row r="35" spans="1:3" x14ac:dyDescent="0.3">
      <c r="A35" s="4">
        <v>10301</v>
      </c>
      <c r="B35" s="3" t="s">
        <v>64</v>
      </c>
      <c r="C35" s="8"/>
    </row>
    <row r="36" spans="1:3" x14ac:dyDescent="0.3">
      <c r="A36" s="2">
        <v>10301001</v>
      </c>
      <c r="B36" s="5" t="s">
        <v>251</v>
      </c>
      <c r="C36" s="8">
        <v>1</v>
      </c>
    </row>
    <row r="37" spans="1:3" x14ac:dyDescent="0.3">
      <c r="A37" s="4">
        <v>104</v>
      </c>
      <c r="B37" s="3" t="s">
        <v>9</v>
      </c>
      <c r="C37" s="8"/>
    </row>
    <row r="38" spans="1:3" x14ac:dyDescent="0.3">
      <c r="A38" s="4">
        <v>1</v>
      </c>
      <c r="B38" s="8" t="s">
        <v>271</v>
      </c>
      <c r="C38" s="8"/>
    </row>
    <row r="39" spans="1:3" x14ac:dyDescent="0.3">
      <c r="A39" s="4">
        <v>10401</v>
      </c>
      <c r="B39" s="3" t="s">
        <v>65</v>
      </c>
      <c r="C39" s="8"/>
    </row>
    <row r="40" spans="1:3" x14ac:dyDescent="0.3">
      <c r="A40" s="4">
        <v>105</v>
      </c>
      <c r="B40" s="3" t="s">
        <v>66</v>
      </c>
      <c r="C40" s="8"/>
    </row>
    <row r="41" spans="1:3" x14ac:dyDescent="0.3">
      <c r="A41" s="4">
        <v>10501</v>
      </c>
      <c r="B41" s="3" t="s">
        <v>67</v>
      </c>
      <c r="C41" s="8"/>
    </row>
    <row r="42" spans="1:3" x14ac:dyDescent="0.3">
      <c r="A42" s="2">
        <v>10501001</v>
      </c>
      <c r="B42" t="s">
        <v>67</v>
      </c>
      <c r="C42" s="8">
        <v>2</v>
      </c>
    </row>
    <row r="43" spans="1:3" x14ac:dyDescent="0.3">
      <c r="A43" s="4">
        <v>10502</v>
      </c>
      <c r="B43" s="3" t="s">
        <v>68</v>
      </c>
      <c r="C43" s="8"/>
    </row>
    <row r="44" spans="1:3" x14ac:dyDescent="0.3">
      <c r="A44" s="2">
        <v>10502001</v>
      </c>
      <c r="B44" t="s">
        <v>69</v>
      </c>
      <c r="C44" s="8">
        <v>2</v>
      </c>
    </row>
    <row r="45" spans="1:3" x14ac:dyDescent="0.3">
      <c r="A45" s="2">
        <v>10502002</v>
      </c>
      <c r="B45" t="s">
        <v>70</v>
      </c>
      <c r="C45" s="8">
        <v>2</v>
      </c>
    </row>
    <row r="46" spans="1:3" x14ac:dyDescent="0.3">
      <c r="A46" s="4">
        <v>10503</v>
      </c>
      <c r="B46" s="3" t="s">
        <v>71</v>
      </c>
      <c r="C46" s="8"/>
    </row>
    <row r="47" spans="1:3" x14ac:dyDescent="0.3">
      <c r="A47" s="2">
        <v>10503001</v>
      </c>
      <c r="B47" t="s">
        <v>71</v>
      </c>
      <c r="C47" s="8">
        <v>2</v>
      </c>
    </row>
    <row r="48" spans="1:3" x14ac:dyDescent="0.3">
      <c r="A48" s="2">
        <v>10503002</v>
      </c>
      <c r="B48" t="s">
        <v>72</v>
      </c>
      <c r="C48" s="8">
        <v>2</v>
      </c>
    </row>
    <row r="49" spans="1:3" x14ac:dyDescent="0.3">
      <c r="A49" s="4">
        <v>10504</v>
      </c>
      <c r="B49" s="3" t="s">
        <v>7</v>
      </c>
      <c r="C49" s="8"/>
    </row>
    <row r="50" spans="1:3" x14ac:dyDescent="0.3">
      <c r="A50" s="2">
        <v>10504001</v>
      </c>
      <c r="B50" s="5" t="s">
        <v>7</v>
      </c>
      <c r="C50" s="8">
        <v>2</v>
      </c>
    </row>
    <row r="51" spans="1:3" x14ac:dyDescent="0.3">
      <c r="A51" s="2">
        <v>10504002</v>
      </c>
      <c r="B51" s="5" t="s">
        <v>73</v>
      </c>
      <c r="C51" s="8">
        <v>2</v>
      </c>
    </row>
    <row r="52" spans="1:3" x14ac:dyDescent="0.3">
      <c r="A52" s="4">
        <v>10505</v>
      </c>
      <c r="B52" s="3" t="s">
        <v>74</v>
      </c>
      <c r="C52" s="8"/>
    </row>
    <row r="53" spans="1:3" x14ac:dyDescent="0.3">
      <c r="A53" s="2">
        <v>10505001</v>
      </c>
      <c r="B53" s="5" t="s">
        <v>75</v>
      </c>
      <c r="C53" s="8">
        <v>2</v>
      </c>
    </row>
    <row r="54" spans="1:3" x14ac:dyDescent="0.3">
      <c r="A54" s="2">
        <v>10505002</v>
      </c>
      <c r="B54" s="5" t="s">
        <v>76</v>
      </c>
      <c r="C54" s="8">
        <v>2</v>
      </c>
    </row>
    <row r="55" spans="1:3" x14ac:dyDescent="0.3">
      <c r="A55" s="4">
        <v>10506</v>
      </c>
      <c r="B55" s="3" t="s">
        <v>77</v>
      </c>
      <c r="C55" s="8"/>
    </row>
    <row r="56" spans="1:3" x14ac:dyDescent="0.3">
      <c r="A56" s="2">
        <v>10506001</v>
      </c>
      <c r="B56" s="5" t="s">
        <v>77</v>
      </c>
      <c r="C56" s="8">
        <v>2</v>
      </c>
    </row>
    <row r="57" spans="1:3" x14ac:dyDescent="0.3">
      <c r="A57" s="2">
        <v>10506002</v>
      </c>
      <c r="B57" s="5" t="s">
        <v>78</v>
      </c>
      <c r="C57" s="8">
        <v>2</v>
      </c>
    </row>
    <row r="58" spans="1:3" x14ac:dyDescent="0.3">
      <c r="A58" s="4">
        <v>10507</v>
      </c>
      <c r="B58" s="3" t="s">
        <v>6</v>
      </c>
      <c r="C58" s="8"/>
    </row>
    <row r="59" spans="1:3" x14ac:dyDescent="0.3">
      <c r="A59" s="2">
        <v>10507001</v>
      </c>
      <c r="B59" s="23" t="s">
        <v>6</v>
      </c>
      <c r="C59" s="8">
        <v>2</v>
      </c>
    </row>
    <row r="60" spans="1:3" x14ac:dyDescent="0.3">
      <c r="A60" s="2">
        <v>10507002</v>
      </c>
      <c r="B60" s="5" t="s">
        <v>79</v>
      </c>
      <c r="C60" s="8">
        <v>2</v>
      </c>
    </row>
    <row r="61" spans="1:3" x14ac:dyDescent="0.3">
      <c r="A61" s="4">
        <v>10508</v>
      </c>
      <c r="B61" s="3" t="s">
        <v>80</v>
      </c>
      <c r="C61" s="8"/>
    </row>
    <row r="62" spans="1:3" x14ac:dyDescent="0.3">
      <c r="A62" s="2">
        <v>10507001</v>
      </c>
      <c r="B62" s="5" t="s">
        <v>5</v>
      </c>
      <c r="C62" s="8">
        <v>2</v>
      </c>
    </row>
    <row r="63" spans="1:3" x14ac:dyDescent="0.3">
      <c r="A63" s="2">
        <v>10507002</v>
      </c>
      <c r="B63" s="5" t="s">
        <v>81</v>
      </c>
      <c r="C63" s="8">
        <v>2</v>
      </c>
    </row>
    <row r="64" spans="1:3" x14ac:dyDescent="0.3">
      <c r="A64" s="4">
        <v>106</v>
      </c>
      <c r="B64" s="3" t="s">
        <v>8</v>
      </c>
      <c r="C64" s="8"/>
    </row>
    <row r="65" spans="1:3" x14ac:dyDescent="0.3">
      <c r="A65" s="4">
        <v>10601</v>
      </c>
      <c r="B65" s="3" t="s">
        <v>82</v>
      </c>
      <c r="C65" s="8"/>
    </row>
    <row r="66" spans="1:3" x14ac:dyDescent="0.3">
      <c r="A66" s="2">
        <v>10601001</v>
      </c>
      <c r="B66" t="s">
        <v>83</v>
      </c>
      <c r="C66" s="8">
        <v>2</v>
      </c>
    </row>
    <row r="67" spans="1:3" x14ac:dyDescent="0.3">
      <c r="A67" s="4">
        <v>10602</v>
      </c>
      <c r="B67" s="3" t="s">
        <v>84</v>
      </c>
      <c r="C67" s="8"/>
    </row>
    <row r="68" spans="1:3" x14ac:dyDescent="0.3">
      <c r="A68" s="2">
        <v>10602001</v>
      </c>
      <c r="B68" t="s">
        <v>85</v>
      </c>
      <c r="C68" s="8">
        <v>1</v>
      </c>
    </row>
    <row r="69" spans="1:3" x14ac:dyDescent="0.3">
      <c r="A69" s="4">
        <v>107</v>
      </c>
      <c r="B69" s="3" t="s">
        <v>86</v>
      </c>
      <c r="C69" s="8"/>
    </row>
    <row r="70" spans="1:3" x14ac:dyDescent="0.3">
      <c r="A70" s="4">
        <v>10701</v>
      </c>
      <c r="B70" s="3" t="s">
        <v>10</v>
      </c>
      <c r="C70" s="8"/>
    </row>
    <row r="71" spans="1:3" x14ac:dyDescent="0.3">
      <c r="A71" s="2">
        <v>10701001</v>
      </c>
      <c r="B71" t="s">
        <v>10</v>
      </c>
      <c r="C71" s="8">
        <v>1</v>
      </c>
    </row>
    <row r="72" spans="1:3" x14ac:dyDescent="0.3">
      <c r="A72" s="10">
        <v>2</v>
      </c>
      <c r="B72" s="11" t="s">
        <v>11</v>
      </c>
      <c r="C72" s="8"/>
    </row>
    <row r="73" spans="1:3" x14ac:dyDescent="0.3">
      <c r="A73" s="4">
        <v>201</v>
      </c>
      <c r="B73" s="3" t="s">
        <v>12</v>
      </c>
      <c r="C73" s="8"/>
    </row>
    <row r="74" spans="1:3" x14ac:dyDescent="0.3">
      <c r="A74" s="4">
        <v>20101</v>
      </c>
      <c r="B74" s="3" t="s">
        <v>87</v>
      </c>
      <c r="C74" s="8"/>
    </row>
    <row r="75" spans="1:3" x14ac:dyDescent="0.3">
      <c r="A75" s="2">
        <v>20101001</v>
      </c>
      <c r="B75" s="5" t="s">
        <v>275</v>
      </c>
      <c r="C75" s="8">
        <v>1</v>
      </c>
    </row>
    <row r="76" spans="1:3" x14ac:dyDescent="0.3">
      <c r="A76" s="2">
        <v>20101002</v>
      </c>
      <c r="B76" s="5" t="s">
        <v>88</v>
      </c>
      <c r="C76" s="8">
        <v>1</v>
      </c>
    </row>
    <row r="77" spans="1:3" x14ac:dyDescent="0.3">
      <c r="A77" s="4">
        <v>20102</v>
      </c>
      <c r="B77" s="3" t="s">
        <v>89</v>
      </c>
      <c r="C77" s="8"/>
    </row>
    <row r="78" spans="1:3" x14ac:dyDescent="0.3">
      <c r="A78" s="2">
        <v>20102001</v>
      </c>
      <c r="B78" s="5" t="s">
        <v>90</v>
      </c>
      <c r="C78" s="8">
        <v>1</v>
      </c>
    </row>
    <row r="79" spans="1:3" x14ac:dyDescent="0.3">
      <c r="A79" s="2">
        <v>20102002</v>
      </c>
      <c r="B79" s="5" t="s">
        <v>91</v>
      </c>
      <c r="C79" s="8">
        <v>1</v>
      </c>
    </row>
    <row r="80" spans="1:3" x14ac:dyDescent="0.3">
      <c r="A80" s="2">
        <v>20102003</v>
      </c>
      <c r="B80" s="5" t="s">
        <v>92</v>
      </c>
      <c r="C80" s="8">
        <v>1</v>
      </c>
    </row>
    <row r="81" spans="1:3" x14ac:dyDescent="0.3">
      <c r="A81" s="2">
        <v>20102004</v>
      </c>
      <c r="B81" s="5" t="s">
        <v>93</v>
      </c>
      <c r="C81" s="8">
        <v>1</v>
      </c>
    </row>
    <row r="82" spans="1:3" x14ac:dyDescent="0.3">
      <c r="A82" s="2">
        <v>20102005</v>
      </c>
      <c r="B82" s="5" t="s">
        <v>94</v>
      </c>
      <c r="C82" s="8">
        <v>1</v>
      </c>
    </row>
    <row r="83" spans="1:3" x14ac:dyDescent="0.3">
      <c r="A83" s="2">
        <v>20102006</v>
      </c>
      <c r="B83" s="5" t="s">
        <v>95</v>
      </c>
      <c r="C83" s="8">
        <v>1</v>
      </c>
    </row>
    <row r="84" spans="1:3" x14ac:dyDescent="0.3">
      <c r="A84" s="4">
        <v>20103</v>
      </c>
      <c r="B84" s="3" t="s">
        <v>96</v>
      </c>
      <c r="C84" s="8"/>
    </row>
    <row r="85" spans="1:3" x14ac:dyDescent="0.3">
      <c r="A85" s="2">
        <v>20103001</v>
      </c>
      <c r="B85" t="s">
        <v>13</v>
      </c>
      <c r="C85" s="8">
        <v>1</v>
      </c>
    </row>
    <row r="86" spans="1:3" x14ac:dyDescent="0.3">
      <c r="A86" s="2">
        <v>20103002</v>
      </c>
      <c r="B86" t="s">
        <v>97</v>
      </c>
      <c r="C86" s="8">
        <v>1</v>
      </c>
    </row>
    <row r="87" spans="1:3" x14ac:dyDescent="0.3">
      <c r="A87" s="4">
        <v>20104</v>
      </c>
      <c r="B87" s="3" t="s">
        <v>14</v>
      </c>
      <c r="C87" s="8"/>
    </row>
    <row r="88" spans="1:3" x14ac:dyDescent="0.3">
      <c r="A88" s="2">
        <v>20104001</v>
      </c>
      <c r="B88" s="23" t="s">
        <v>98</v>
      </c>
      <c r="C88" s="8">
        <v>1</v>
      </c>
    </row>
    <row r="89" spans="1:3" x14ac:dyDescent="0.3">
      <c r="A89" s="2">
        <v>20104002</v>
      </c>
      <c r="B89" s="5" t="s">
        <v>99</v>
      </c>
      <c r="C89" s="8">
        <v>1</v>
      </c>
    </row>
    <row r="90" spans="1:3" x14ac:dyDescent="0.3">
      <c r="A90" s="2">
        <v>20104003</v>
      </c>
      <c r="B90" s="5" t="s">
        <v>100</v>
      </c>
      <c r="C90" s="8">
        <v>1</v>
      </c>
    </row>
    <row r="91" spans="1:3" x14ac:dyDescent="0.3">
      <c r="A91" s="2">
        <v>20104004</v>
      </c>
      <c r="B91" s="23" t="s">
        <v>244</v>
      </c>
      <c r="C91" s="8">
        <v>1</v>
      </c>
    </row>
    <row r="92" spans="1:3" x14ac:dyDescent="0.3">
      <c r="A92" s="2">
        <v>20104005</v>
      </c>
      <c r="B92" t="s">
        <v>101</v>
      </c>
      <c r="C92" s="8">
        <v>1</v>
      </c>
    </row>
    <row r="93" spans="1:3" x14ac:dyDescent="0.3">
      <c r="A93" s="2">
        <v>20104006</v>
      </c>
      <c r="B93" t="s">
        <v>102</v>
      </c>
      <c r="C93" s="8">
        <v>1</v>
      </c>
    </row>
    <row r="94" spans="1:3" x14ac:dyDescent="0.3">
      <c r="A94" s="2">
        <v>20104007</v>
      </c>
      <c r="B94" t="s">
        <v>103</v>
      </c>
      <c r="C94" s="8">
        <v>1</v>
      </c>
    </row>
    <row r="95" spans="1:3" x14ac:dyDescent="0.3">
      <c r="A95" s="4">
        <v>20105</v>
      </c>
      <c r="B95" s="6" t="s">
        <v>104</v>
      </c>
      <c r="C95" s="8"/>
    </row>
    <row r="96" spans="1:3" x14ac:dyDescent="0.3">
      <c r="A96" s="2">
        <v>20105001</v>
      </c>
      <c r="B96" s="26" t="s">
        <v>262</v>
      </c>
      <c r="C96" s="8">
        <v>1</v>
      </c>
    </row>
    <row r="97" spans="1:3" x14ac:dyDescent="0.3">
      <c r="A97" s="2">
        <v>20105002</v>
      </c>
      <c r="B97" s="23" t="s">
        <v>256</v>
      </c>
      <c r="C97" s="8">
        <v>1</v>
      </c>
    </row>
    <row r="98" spans="1:3" x14ac:dyDescent="0.3">
      <c r="A98" s="2">
        <v>20105003</v>
      </c>
      <c r="B98" s="26" t="s">
        <v>257</v>
      </c>
      <c r="C98" s="8">
        <v>1</v>
      </c>
    </row>
    <row r="99" spans="1:3" x14ac:dyDescent="0.3">
      <c r="A99" s="2">
        <v>20105004</v>
      </c>
      <c r="B99" s="5" t="s">
        <v>258</v>
      </c>
      <c r="C99" s="8">
        <v>1</v>
      </c>
    </row>
    <row r="100" spans="1:3" x14ac:dyDescent="0.3">
      <c r="A100" s="4">
        <v>20106</v>
      </c>
      <c r="B100" s="3" t="s">
        <v>105</v>
      </c>
      <c r="C100" s="8"/>
    </row>
    <row r="101" spans="1:3" x14ac:dyDescent="0.3">
      <c r="A101" s="2">
        <v>20106001</v>
      </c>
      <c r="B101" s="5" t="s">
        <v>106</v>
      </c>
      <c r="C101" s="8">
        <v>1</v>
      </c>
    </row>
    <row r="102" spans="1:3" x14ac:dyDescent="0.3">
      <c r="A102" s="2">
        <v>20106002</v>
      </c>
      <c r="B102" s="26" t="s">
        <v>107</v>
      </c>
      <c r="C102" s="8">
        <v>1</v>
      </c>
    </row>
    <row r="103" spans="1:3" x14ac:dyDescent="0.3">
      <c r="A103" s="2">
        <v>20106003</v>
      </c>
      <c r="B103" s="26" t="s">
        <v>263</v>
      </c>
      <c r="C103" s="8">
        <v>1</v>
      </c>
    </row>
    <row r="104" spans="1:3" x14ac:dyDescent="0.3">
      <c r="A104" s="2">
        <v>20106004</v>
      </c>
      <c r="B104" s="5" t="s">
        <v>108</v>
      </c>
      <c r="C104" s="8">
        <v>1</v>
      </c>
    </row>
    <row r="105" spans="1:3" x14ac:dyDescent="0.3">
      <c r="A105" s="2">
        <v>20106005</v>
      </c>
      <c r="B105" s="5" t="s">
        <v>109</v>
      </c>
      <c r="C105" s="8">
        <v>1</v>
      </c>
    </row>
    <row r="106" spans="1:3" x14ac:dyDescent="0.3">
      <c r="A106" s="2">
        <v>20106006</v>
      </c>
      <c r="B106" s="5" t="s">
        <v>110</v>
      </c>
      <c r="C106" s="8">
        <v>1</v>
      </c>
    </row>
    <row r="107" spans="1:3" x14ac:dyDescent="0.3">
      <c r="A107" s="2">
        <v>20106007</v>
      </c>
      <c r="B107" s="5" t="s">
        <v>111</v>
      </c>
      <c r="C107" s="8">
        <v>1</v>
      </c>
    </row>
    <row r="108" spans="1:3" x14ac:dyDescent="0.3">
      <c r="A108" s="4">
        <v>202</v>
      </c>
      <c r="B108" s="3" t="s">
        <v>112</v>
      </c>
      <c r="C108" s="8"/>
    </row>
    <row r="109" spans="1:3" x14ac:dyDescent="0.3">
      <c r="A109" s="4">
        <v>20201</v>
      </c>
      <c r="B109" s="3" t="s">
        <v>113</v>
      </c>
      <c r="C109" s="8"/>
    </row>
    <row r="110" spans="1:3" x14ac:dyDescent="0.3">
      <c r="A110" s="4">
        <v>2020101</v>
      </c>
      <c r="B110" s="3" t="s">
        <v>114</v>
      </c>
      <c r="C110" s="8"/>
    </row>
    <row r="111" spans="1:3" x14ac:dyDescent="0.3">
      <c r="A111" s="2">
        <v>20201001</v>
      </c>
      <c r="B111" s="25" t="s">
        <v>114</v>
      </c>
      <c r="C111" s="8">
        <v>1</v>
      </c>
    </row>
    <row r="112" spans="1:3" hidden="1" x14ac:dyDescent="0.3">
      <c r="A112" s="4">
        <v>2020201</v>
      </c>
      <c r="B112" s="3" t="s">
        <v>115</v>
      </c>
      <c r="C112" s="8"/>
    </row>
    <row r="113" spans="1:3" hidden="1" x14ac:dyDescent="0.3">
      <c r="A113" s="2">
        <v>20202001</v>
      </c>
      <c r="B113" t="s">
        <v>115</v>
      </c>
      <c r="C113" s="8">
        <v>1</v>
      </c>
    </row>
    <row r="114" spans="1:3" x14ac:dyDescent="0.3">
      <c r="A114" s="4">
        <v>2020301</v>
      </c>
      <c r="B114" s="3" t="s">
        <v>116</v>
      </c>
      <c r="C114" s="8"/>
    </row>
    <row r="115" spans="1:3" x14ac:dyDescent="0.3">
      <c r="A115" s="2">
        <v>20203001</v>
      </c>
      <c r="B115" s="7" t="s">
        <v>227</v>
      </c>
      <c r="C115" s="8">
        <v>3</v>
      </c>
    </row>
    <row r="116" spans="1:3" x14ac:dyDescent="0.3">
      <c r="A116" s="2">
        <v>20203002</v>
      </c>
      <c r="B116" s="7" t="s">
        <v>228</v>
      </c>
      <c r="C116" s="8">
        <v>3</v>
      </c>
    </row>
    <row r="117" spans="1:3" x14ac:dyDescent="0.3">
      <c r="A117" s="10">
        <v>3</v>
      </c>
      <c r="B117" s="11" t="s">
        <v>117</v>
      </c>
      <c r="C117" s="8"/>
    </row>
    <row r="118" spans="1:3" x14ac:dyDescent="0.3">
      <c r="A118" s="4">
        <v>301</v>
      </c>
      <c r="B118" s="3" t="s">
        <v>15</v>
      </c>
      <c r="C118" s="8"/>
    </row>
    <row r="119" spans="1:3" x14ac:dyDescent="0.3">
      <c r="A119" s="4">
        <v>30101</v>
      </c>
      <c r="B119" s="3" t="s">
        <v>16</v>
      </c>
      <c r="C119" s="8"/>
    </row>
    <row r="120" spans="1:3" x14ac:dyDescent="0.3">
      <c r="A120" s="2">
        <v>30101001</v>
      </c>
      <c r="B120" t="s">
        <v>15</v>
      </c>
      <c r="C120" s="8">
        <v>3</v>
      </c>
    </row>
    <row r="121" spans="1:3" x14ac:dyDescent="0.3">
      <c r="A121" s="4">
        <v>302</v>
      </c>
      <c r="B121" s="3" t="s">
        <v>118</v>
      </c>
      <c r="C121" s="8"/>
    </row>
    <row r="122" spans="1:3" x14ac:dyDescent="0.3">
      <c r="A122" s="4">
        <v>30201</v>
      </c>
      <c r="B122" s="3" t="s">
        <v>118</v>
      </c>
      <c r="C122" s="8"/>
    </row>
    <row r="123" spans="1:3" x14ac:dyDescent="0.3">
      <c r="A123" s="2">
        <v>30201001</v>
      </c>
      <c r="B123" t="s">
        <v>18</v>
      </c>
      <c r="C123" s="8">
        <v>3</v>
      </c>
    </row>
    <row r="124" spans="1:3" x14ac:dyDescent="0.3">
      <c r="A124" s="2">
        <v>30201002</v>
      </c>
      <c r="B124" t="s">
        <v>119</v>
      </c>
      <c r="C124" s="8">
        <v>3</v>
      </c>
    </row>
    <row r="125" spans="1:3" x14ac:dyDescent="0.3">
      <c r="A125" s="4">
        <v>303</v>
      </c>
      <c r="B125" s="3" t="s">
        <v>17</v>
      </c>
      <c r="C125" s="8"/>
    </row>
    <row r="126" spans="1:3" x14ac:dyDescent="0.3">
      <c r="A126" s="4">
        <v>30301</v>
      </c>
      <c r="B126" s="3" t="s">
        <v>17</v>
      </c>
      <c r="C126" s="8"/>
    </row>
    <row r="127" spans="1:3" x14ac:dyDescent="0.3">
      <c r="A127" s="2">
        <v>30301001</v>
      </c>
      <c r="B127" t="s">
        <v>120</v>
      </c>
      <c r="C127" s="8">
        <v>3</v>
      </c>
    </row>
    <row r="128" spans="1:3" x14ac:dyDescent="0.3">
      <c r="A128" s="4">
        <v>304</v>
      </c>
      <c r="B128" s="3" t="s">
        <v>121</v>
      </c>
      <c r="C128" s="8"/>
    </row>
    <row r="129" spans="1:3" x14ac:dyDescent="0.3">
      <c r="A129" s="4">
        <v>30401</v>
      </c>
      <c r="B129" s="3" t="s">
        <v>121</v>
      </c>
      <c r="C129" s="8"/>
    </row>
    <row r="130" spans="1:3" x14ac:dyDescent="0.3">
      <c r="A130" s="2">
        <v>30401001</v>
      </c>
      <c r="B130" t="s">
        <v>122</v>
      </c>
      <c r="C130" s="8">
        <v>3</v>
      </c>
    </row>
    <row r="131" spans="1:3" x14ac:dyDescent="0.3">
      <c r="A131" s="2">
        <v>30401002</v>
      </c>
      <c r="B131" t="s">
        <v>123</v>
      </c>
      <c r="C131" s="8">
        <v>3</v>
      </c>
    </row>
    <row r="132" spans="1:3" x14ac:dyDescent="0.3">
      <c r="A132" s="10">
        <v>4</v>
      </c>
      <c r="B132" s="11" t="s">
        <v>19</v>
      </c>
      <c r="C132" s="8"/>
    </row>
    <row r="133" spans="1:3" x14ac:dyDescent="0.3">
      <c r="A133" s="4">
        <v>401</v>
      </c>
      <c r="B133" s="3" t="s">
        <v>20</v>
      </c>
      <c r="C133" s="8"/>
    </row>
    <row r="134" spans="1:3" x14ac:dyDescent="0.3">
      <c r="A134" s="4">
        <v>40101</v>
      </c>
      <c r="B134" s="3" t="s">
        <v>124</v>
      </c>
      <c r="C134" s="8"/>
    </row>
    <row r="135" spans="1:3" x14ac:dyDescent="0.3">
      <c r="A135" s="22">
        <v>40101001</v>
      </c>
      <c r="B135" s="8" t="s">
        <v>243</v>
      </c>
      <c r="C135" s="8"/>
    </row>
    <row r="136" spans="1:3" x14ac:dyDescent="0.3">
      <c r="A136" s="2">
        <v>40101003</v>
      </c>
      <c r="B136" t="s">
        <v>125</v>
      </c>
      <c r="C136" s="8"/>
    </row>
    <row r="137" spans="1:3" x14ac:dyDescent="0.3">
      <c r="A137" s="2">
        <v>40101004</v>
      </c>
      <c r="B137" t="s">
        <v>126</v>
      </c>
      <c r="C137" s="8"/>
    </row>
    <row r="138" spans="1:3" x14ac:dyDescent="0.3">
      <c r="A138" s="2">
        <v>40101005</v>
      </c>
      <c r="B138" t="s">
        <v>127</v>
      </c>
      <c r="C138" s="8"/>
    </row>
    <row r="139" spans="1:3" x14ac:dyDescent="0.3">
      <c r="A139" s="4">
        <v>402</v>
      </c>
      <c r="B139" s="3" t="s">
        <v>21</v>
      </c>
      <c r="C139" s="8"/>
    </row>
    <row r="140" spans="1:3" x14ac:dyDescent="0.3">
      <c r="A140" s="4">
        <v>40201</v>
      </c>
      <c r="B140" s="3" t="s">
        <v>22</v>
      </c>
      <c r="C140" s="8"/>
    </row>
    <row r="141" spans="1:3" x14ac:dyDescent="0.3">
      <c r="A141" s="2">
        <v>40201001</v>
      </c>
      <c r="B141" t="s">
        <v>23</v>
      </c>
      <c r="C141" s="8"/>
    </row>
    <row r="142" spans="1:3" x14ac:dyDescent="0.3">
      <c r="A142" s="2">
        <v>40201002</v>
      </c>
      <c r="B142" t="s">
        <v>357</v>
      </c>
      <c r="C142" s="8"/>
    </row>
    <row r="143" spans="1:3" x14ac:dyDescent="0.3">
      <c r="A143" s="2">
        <v>40201003</v>
      </c>
      <c r="B143" t="s">
        <v>24</v>
      </c>
      <c r="C143" s="8"/>
    </row>
    <row r="144" spans="1:3" x14ac:dyDescent="0.3">
      <c r="A144" s="2">
        <v>40201004</v>
      </c>
      <c r="B144" t="s">
        <v>128</v>
      </c>
      <c r="C144" s="8"/>
    </row>
    <row r="145" spans="1:3" x14ac:dyDescent="0.3">
      <c r="A145" s="2">
        <v>40201005</v>
      </c>
      <c r="B145" t="s">
        <v>129</v>
      </c>
      <c r="C145" s="8"/>
    </row>
    <row r="146" spans="1:3" x14ac:dyDescent="0.3">
      <c r="A146" s="4">
        <v>40202</v>
      </c>
      <c r="B146" s="3" t="s">
        <v>130</v>
      </c>
      <c r="C146" s="8"/>
    </row>
    <row r="147" spans="1:3" x14ac:dyDescent="0.3">
      <c r="A147" s="2">
        <v>40202001</v>
      </c>
      <c r="B147" t="s">
        <v>131</v>
      </c>
      <c r="C147" s="8"/>
    </row>
    <row r="148" spans="1:3" x14ac:dyDescent="0.3">
      <c r="A148" s="2">
        <v>40202002</v>
      </c>
      <c r="B148" t="s">
        <v>132</v>
      </c>
      <c r="C148" s="8"/>
    </row>
    <row r="149" spans="1:3" x14ac:dyDescent="0.3">
      <c r="A149" s="2">
        <v>40202003</v>
      </c>
      <c r="B149" t="s">
        <v>133</v>
      </c>
      <c r="C149" s="8"/>
    </row>
    <row r="150" spans="1:3" x14ac:dyDescent="0.3">
      <c r="A150" s="2">
        <v>40202004</v>
      </c>
      <c r="B150" t="s">
        <v>134</v>
      </c>
      <c r="C150" s="8"/>
    </row>
    <row r="151" spans="1:3" x14ac:dyDescent="0.3">
      <c r="A151" s="10">
        <v>5</v>
      </c>
      <c r="B151" s="11" t="s">
        <v>135</v>
      </c>
      <c r="C151" s="8"/>
    </row>
    <row r="152" spans="1:3" x14ac:dyDescent="0.3">
      <c r="A152" s="4">
        <v>501</v>
      </c>
      <c r="B152" s="3" t="s">
        <v>135</v>
      </c>
      <c r="C152" s="8"/>
    </row>
    <row r="153" spans="1:3" x14ac:dyDescent="0.3">
      <c r="A153" s="4">
        <v>50101</v>
      </c>
      <c r="B153" s="3" t="s">
        <v>136</v>
      </c>
      <c r="C153" s="8"/>
    </row>
    <row r="154" spans="1:3" x14ac:dyDescent="0.3">
      <c r="A154" s="2">
        <v>50101001</v>
      </c>
      <c r="B154" t="s">
        <v>137</v>
      </c>
      <c r="C154" s="8"/>
    </row>
    <row r="155" spans="1:3" x14ac:dyDescent="0.3">
      <c r="A155" s="2">
        <v>50101002</v>
      </c>
      <c r="B155" t="s">
        <v>138</v>
      </c>
      <c r="C155" s="8"/>
    </row>
    <row r="156" spans="1:3" x14ac:dyDescent="0.3">
      <c r="A156" s="2">
        <v>50101003</v>
      </c>
      <c r="B156" t="s">
        <v>139</v>
      </c>
      <c r="C156" s="8"/>
    </row>
    <row r="157" spans="1:3" x14ac:dyDescent="0.3">
      <c r="A157" s="2">
        <v>50101004</v>
      </c>
      <c r="B157" t="s">
        <v>140</v>
      </c>
      <c r="C157" s="8"/>
    </row>
    <row r="158" spans="1:3" x14ac:dyDescent="0.3">
      <c r="A158" s="10">
        <v>6</v>
      </c>
      <c r="B158" s="11" t="s">
        <v>141</v>
      </c>
      <c r="C158" s="8"/>
    </row>
    <row r="159" spans="1:3" x14ac:dyDescent="0.3">
      <c r="A159" s="4">
        <v>601</v>
      </c>
      <c r="B159" s="3" t="s">
        <v>142</v>
      </c>
      <c r="C159" s="8"/>
    </row>
    <row r="160" spans="1:3" x14ac:dyDescent="0.3">
      <c r="A160" s="4">
        <v>60101</v>
      </c>
      <c r="B160" s="3" t="s">
        <v>143</v>
      </c>
      <c r="C160" s="8"/>
    </row>
    <row r="161" spans="1:3" x14ac:dyDescent="0.3">
      <c r="A161" s="2">
        <v>60101001</v>
      </c>
      <c r="B161" s="24" t="s">
        <v>144</v>
      </c>
      <c r="C161" s="8"/>
    </row>
    <row r="162" spans="1:3" x14ac:dyDescent="0.3">
      <c r="A162" s="4">
        <v>60102</v>
      </c>
      <c r="B162" s="3" t="s">
        <v>145</v>
      </c>
      <c r="C162" s="8"/>
    </row>
    <row r="163" spans="1:3" x14ac:dyDescent="0.3">
      <c r="A163" s="2">
        <v>60102001</v>
      </c>
      <c r="B163" t="s">
        <v>26</v>
      </c>
      <c r="C163" s="8"/>
    </row>
    <row r="164" spans="1:3" x14ac:dyDescent="0.3">
      <c r="A164" s="2">
        <v>60102002</v>
      </c>
      <c r="B164" t="s">
        <v>27</v>
      </c>
      <c r="C164" s="8"/>
    </row>
    <row r="165" spans="1:3" x14ac:dyDescent="0.3">
      <c r="A165" s="2">
        <v>60102003</v>
      </c>
      <c r="B165" t="s">
        <v>146</v>
      </c>
      <c r="C165" s="8"/>
    </row>
    <row r="166" spans="1:3" x14ac:dyDescent="0.3">
      <c r="A166" s="2">
        <v>60102004</v>
      </c>
      <c r="B166" t="s">
        <v>147</v>
      </c>
      <c r="C166" s="8"/>
    </row>
    <row r="167" spans="1:3" x14ac:dyDescent="0.3">
      <c r="A167" s="2">
        <v>60102005</v>
      </c>
      <c r="B167" s="25" t="s">
        <v>41</v>
      </c>
      <c r="C167" s="8"/>
    </row>
    <row r="168" spans="1:3" x14ac:dyDescent="0.3">
      <c r="A168" s="2">
        <v>60102006</v>
      </c>
      <c r="B168" s="25" t="s">
        <v>148</v>
      </c>
      <c r="C168" s="8"/>
    </row>
    <row r="169" spans="1:3" x14ac:dyDescent="0.3">
      <c r="A169" s="2">
        <v>60102007</v>
      </c>
      <c r="B169" s="25" t="s">
        <v>261</v>
      </c>
      <c r="C169" s="8"/>
    </row>
    <row r="170" spans="1:3" x14ac:dyDescent="0.3">
      <c r="A170" s="2">
        <v>60102008</v>
      </c>
      <c r="B170" t="s">
        <v>25</v>
      </c>
      <c r="C170" s="8"/>
    </row>
    <row r="171" spans="1:3" x14ac:dyDescent="0.3">
      <c r="A171" s="2">
        <v>60102009</v>
      </c>
      <c r="B171" s="25" t="s">
        <v>260</v>
      </c>
      <c r="C171" s="8"/>
    </row>
    <row r="172" spans="1:3" x14ac:dyDescent="0.3">
      <c r="A172" s="2">
        <v>60102010</v>
      </c>
      <c r="B172" t="s">
        <v>149</v>
      </c>
      <c r="C172" s="8"/>
    </row>
    <row r="173" spans="1:3" x14ac:dyDescent="0.3">
      <c r="A173" s="2">
        <v>60102011</v>
      </c>
      <c r="B173" t="s">
        <v>150</v>
      </c>
      <c r="C173" s="8"/>
    </row>
    <row r="174" spans="1:3" x14ac:dyDescent="0.3">
      <c r="A174" s="2">
        <v>60102012</v>
      </c>
      <c r="B174" t="s">
        <v>151</v>
      </c>
      <c r="C174" s="8"/>
    </row>
    <row r="175" spans="1:3" x14ac:dyDescent="0.3">
      <c r="A175" s="2">
        <v>60102013</v>
      </c>
      <c r="B175" t="s">
        <v>152</v>
      </c>
      <c r="C175" s="8"/>
    </row>
    <row r="176" spans="1:3" x14ac:dyDescent="0.3">
      <c r="A176" s="4">
        <v>60103</v>
      </c>
      <c r="B176" s="3" t="s">
        <v>153</v>
      </c>
      <c r="C176" s="8"/>
    </row>
    <row r="177" spans="1:3" x14ac:dyDescent="0.3">
      <c r="A177" s="2">
        <v>60103001</v>
      </c>
      <c r="B177" s="25" t="s">
        <v>259</v>
      </c>
      <c r="C177" s="8"/>
    </row>
    <row r="178" spans="1:3" x14ac:dyDescent="0.3">
      <c r="A178" s="2">
        <v>60103002</v>
      </c>
      <c r="B178" t="s">
        <v>154</v>
      </c>
      <c r="C178" s="8"/>
    </row>
    <row r="179" spans="1:3" x14ac:dyDescent="0.3">
      <c r="A179" s="2">
        <v>60103003</v>
      </c>
      <c r="B179" t="s">
        <v>155</v>
      </c>
      <c r="C179" s="8"/>
    </row>
    <row r="180" spans="1:3" x14ac:dyDescent="0.3">
      <c r="A180" s="2">
        <v>60103004</v>
      </c>
      <c r="B180" t="s">
        <v>156</v>
      </c>
      <c r="C180" s="8"/>
    </row>
    <row r="181" spans="1:3" x14ac:dyDescent="0.3">
      <c r="A181" s="2">
        <v>60103005</v>
      </c>
      <c r="B181" t="s">
        <v>157</v>
      </c>
      <c r="C181" s="8"/>
    </row>
    <row r="182" spans="1:3" x14ac:dyDescent="0.3">
      <c r="A182" s="4">
        <v>60104</v>
      </c>
      <c r="B182" s="3" t="s">
        <v>158</v>
      </c>
      <c r="C182" s="8"/>
    </row>
    <row r="183" spans="1:3" x14ac:dyDescent="0.3">
      <c r="A183" s="22">
        <v>60104001</v>
      </c>
      <c r="B183" s="8" t="s">
        <v>28</v>
      </c>
      <c r="C183" s="8"/>
    </row>
    <row r="184" spans="1:3" x14ac:dyDescent="0.3">
      <c r="A184" s="2">
        <v>60104002</v>
      </c>
      <c r="B184" t="s">
        <v>42</v>
      </c>
      <c r="C184" s="8"/>
    </row>
    <row r="185" spans="1:3" x14ac:dyDescent="0.3">
      <c r="A185" s="2">
        <v>60104003</v>
      </c>
      <c r="B185" t="s">
        <v>159</v>
      </c>
      <c r="C185" s="8"/>
    </row>
    <row r="186" spans="1:3" x14ac:dyDescent="0.3">
      <c r="A186" s="2">
        <v>60104004</v>
      </c>
      <c r="B186" t="s">
        <v>160</v>
      </c>
      <c r="C186" s="8"/>
    </row>
    <row r="187" spans="1:3" x14ac:dyDescent="0.3">
      <c r="A187" s="2">
        <v>60104005</v>
      </c>
      <c r="B187" t="s">
        <v>33</v>
      </c>
      <c r="C187" s="8"/>
    </row>
    <row r="188" spans="1:3" x14ac:dyDescent="0.3">
      <c r="A188" s="2">
        <v>60104006</v>
      </c>
      <c r="B188" t="s">
        <v>161</v>
      </c>
      <c r="C188" s="8"/>
    </row>
    <row r="189" spans="1:3" x14ac:dyDescent="0.3">
      <c r="A189" s="4">
        <v>60105</v>
      </c>
      <c r="B189" s="3" t="s">
        <v>89</v>
      </c>
      <c r="C189" s="8"/>
    </row>
    <row r="190" spans="1:3" x14ac:dyDescent="0.3">
      <c r="A190" s="2">
        <v>60105001</v>
      </c>
      <c r="B190" t="s">
        <v>162</v>
      </c>
      <c r="C190" s="8"/>
    </row>
    <row r="191" spans="1:3" x14ac:dyDescent="0.3">
      <c r="A191" s="2">
        <v>60105002</v>
      </c>
      <c r="B191" t="s">
        <v>163</v>
      </c>
      <c r="C191" s="8"/>
    </row>
    <row r="192" spans="1:3" x14ac:dyDescent="0.3">
      <c r="A192" s="2">
        <v>60105003</v>
      </c>
      <c r="B192" t="s">
        <v>164</v>
      </c>
      <c r="C192" s="8"/>
    </row>
    <row r="193" spans="1:3" x14ac:dyDescent="0.3">
      <c r="A193" s="2">
        <v>60105004</v>
      </c>
      <c r="B193" t="s">
        <v>165</v>
      </c>
      <c r="C193" s="8"/>
    </row>
    <row r="194" spans="1:3" x14ac:dyDescent="0.3">
      <c r="A194" s="2">
        <v>60105005</v>
      </c>
      <c r="B194" t="s">
        <v>166</v>
      </c>
      <c r="C194" s="8"/>
    </row>
    <row r="195" spans="1:3" x14ac:dyDescent="0.3">
      <c r="A195" s="4">
        <v>60106</v>
      </c>
      <c r="B195" s="3" t="s">
        <v>167</v>
      </c>
      <c r="C195" s="8"/>
    </row>
    <row r="196" spans="1:3" x14ac:dyDescent="0.3">
      <c r="A196" s="22">
        <v>60106001</v>
      </c>
      <c r="B196" s="8" t="s">
        <v>168</v>
      </c>
      <c r="C196" s="8"/>
    </row>
    <row r="197" spans="1:3" x14ac:dyDescent="0.3">
      <c r="A197" s="22">
        <v>60106002</v>
      </c>
      <c r="B197" s="8" t="s">
        <v>169</v>
      </c>
      <c r="C197" s="8"/>
    </row>
    <row r="198" spans="1:3" x14ac:dyDescent="0.3">
      <c r="A198" s="2">
        <v>60106003</v>
      </c>
      <c r="B198" t="s">
        <v>170</v>
      </c>
      <c r="C198" s="8"/>
    </row>
    <row r="199" spans="1:3" x14ac:dyDescent="0.3">
      <c r="A199" s="4">
        <v>60107</v>
      </c>
      <c r="B199" s="3" t="s">
        <v>39</v>
      </c>
      <c r="C199" s="8"/>
    </row>
    <row r="200" spans="1:3" x14ac:dyDescent="0.3">
      <c r="A200" s="22">
        <v>60107001</v>
      </c>
      <c r="B200" s="8" t="s">
        <v>171</v>
      </c>
      <c r="C200" s="8"/>
    </row>
    <row r="201" spans="1:3" x14ac:dyDescent="0.3">
      <c r="A201" s="2">
        <v>60107002</v>
      </c>
      <c r="B201" t="s">
        <v>172</v>
      </c>
      <c r="C201" s="8"/>
    </row>
    <row r="202" spans="1:3" x14ac:dyDescent="0.3">
      <c r="A202" s="2">
        <v>60107003</v>
      </c>
      <c r="B202" t="s">
        <v>31</v>
      </c>
      <c r="C202" s="8"/>
    </row>
    <row r="203" spans="1:3" x14ac:dyDescent="0.3">
      <c r="A203" s="2">
        <v>60107004</v>
      </c>
      <c r="B203" t="s">
        <v>173</v>
      </c>
      <c r="C203" s="8"/>
    </row>
    <row r="204" spans="1:3" x14ac:dyDescent="0.3">
      <c r="A204" s="2">
        <v>60107005</v>
      </c>
      <c r="B204" t="s">
        <v>174</v>
      </c>
      <c r="C204" s="8"/>
    </row>
    <row r="205" spans="1:3" x14ac:dyDescent="0.3">
      <c r="A205" s="2">
        <v>60107006</v>
      </c>
      <c r="B205" t="s">
        <v>175</v>
      </c>
      <c r="C205" s="8"/>
    </row>
    <row r="206" spans="1:3" x14ac:dyDescent="0.3">
      <c r="A206" s="2">
        <v>60107007</v>
      </c>
      <c r="B206" t="s">
        <v>176</v>
      </c>
      <c r="C206" s="8"/>
    </row>
    <row r="207" spans="1:3" x14ac:dyDescent="0.3">
      <c r="A207" s="2">
        <v>60107008</v>
      </c>
      <c r="B207" t="s">
        <v>177</v>
      </c>
      <c r="C207" s="8"/>
    </row>
    <row r="208" spans="1:3" x14ac:dyDescent="0.3">
      <c r="A208" s="2">
        <v>60107009</v>
      </c>
      <c r="B208" t="s">
        <v>178</v>
      </c>
      <c r="C208" s="8"/>
    </row>
    <row r="209" spans="1:3" x14ac:dyDescent="0.3">
      <c r="A209" s="4">
        <v>60108</v>
      </c>
      <c r="B209" s="3" t="s">
        <v>179</v>
      </c>
      <c r="C209" s="8"/>
    </row>
    <row r="210" spans="1:3" x14ac:dyDescent="0.3">
      <c r="A210" s="2">
        <v>60108001</v>
      </c>
      <c r="B210" t="s">
        <v>180</v>
      </c>
      <c r="C210" s="8"/>
    </row>
    <row r="211" spans="1:3" x14ac:dyDescent="0.3">
      <c r="A211" s="2">
        <v>60108002</v>
      </c>
      <c r="B211" t="s">
        <v>181</v>
      </c>
      <c r="C211" s="8"/>
    </row>
    <row r="212" spans="1:3" x14ac:dyDescent="0.3">
      <c r="A212" s="2">
        <v>60108003</v>
      </c>
      <c r="B212" t="s">
        <v>30</v>
      </c>
      <c r="C212" s="8"/>
    </row>
    <row r="213" spans="1:3" x14ac:dyDescent="0.3">
      <c r="A213" s="2">
        <v>60108004</v>
      </c>
      <c r="B213" t="s">
        <v>182</v>
      </c>
      <c r="C213" s="8"/>
    </row>
    <row r="214" spans="1:3" x14ac:dyDescent="0.3">
      <c r="A214" s="2">
        <v>60108005</v>
      </c>
      <c r="B214" t="s">
        <v>183</v>
      </c>
      <c r="C214" s="8"/>
    </row>
    <row r="215" spans="1:3" x14ac:dyDescent="0.3">
      <c r="A215" s="2">
        <v>60108006</v>
      </c>
      <c r="B215" t="s">
        <v>184</v>
      </c>
      <c r="C215" s="8"/>
    </row>
    <row r="216" spans="1:3" x14ac:dyDescent="0.3">
      <c r="A216" s="4">
        <v>60109</v>
      </c>
      <c r="B216" s="3" t="s">
        <v>32</v>
      </c>
      <c r="C216" s="8"/>
    </row>
    <row r="217" spans="1:3" x14ac:dyDescent="0.3">
      <c r="A217" s="2">
        <v>60109001</v>
      </c>
      <c r="B217" t="s">
        <v>29</v>
      </c>
      <c r="C217" s="8"/>
    </row>
    <row r="218" spans="1:3" x14ac:dyDescent="0.3">
      <c r="A218" s="22">
        <v>60109002</v>
      </c>
      <c r="B218" s="8" t="s">
        <v>185</v>
      </c>
      <c r="C218" s="8"/>
    </row>
    <row r="219" spans="1:3" x14ac:dyDescent="0.3">
      <c r="A219" s="2">
        <v>60109003</v>
      </c>
      <c r="B219" t="s">
        <v>186</v>
      </c>
      <c r="C219" s="8"/>
    </row>
    <row r="220" spans="1:3" x14ac:dyDescent="0.3">
      <c r="A220" s="2">
        <v>60109004</v>
      </c>
      <c r="B220" t="s">
        <v>187</v>
      </c>
      <c r="C220" s="8"/>
    </row>
    <row r="221" spans="1:3" x14ac:dyDescent="0.3">
      <c r="A221" s="2">
        <v>60109005</v>
      </c>
      <c r="B221" t="s">
        <v>188</v>
      </c>
      <c r="C221" s="8"/>
    </row>
    <row r="222" spans="1:3" x14ac:dyDescent="0.3">
      <c r="A222" s="2">
        <v>60109006</v>
      </c>
      <c r="B222" t="s">
        <v>189</v>
      </c>
      <c r="C222" s="8"/>
    </row>
    <row r="223" spans="1:3" x14ac:dyDescent="0.3">
      <c r="A223" s="2">
        <v>60109007</v>
      </c>
      <c r="B223" t="s">
        <v>190</v>
      </c>
      <c r="C223" s="8"/>
    </row>
    <row r="224" spans="1:3" x14ac:dyDescent="0.3">
      <c r="A224" s="2">
        <v>60109008</v>
      </c>
      <c r="B224" t="s">
        <v>191</v>
      </c>
      <c r="C224" s="8"/>
    </row>
    <row r="225" spans="1:3" x14ac:dyDescent="0.3">
      <c r="A225" s="4">
        <v>60110</v>
      </c>
      <c r="B225" s="3" t="s">
        <v>192</v>
      </c>
      <c r="C225" s="8"/>
    </row>
    <row r="226" spans="1:3" x14ac:dyDescent="0.3">
      <c r="A226" s="2">
        <v>60110001</v>
      </c>
      <c r="B226" t="s">
        <v>193</v>
      </c>
      <c r="C226" s="8"/>
    </row>
    <row r="227" spans="1:3" x14ac:dyDescent="0.3">
      <c r="A227" s="2">
        <v>60110002</v>
      </c>
      <c r="B227" t="s">
        <v>34</v>
      </c>
      <c r="C227" s="8"/>
    </row>
    <row r="228" spans="1:3" x14ac:dyDescent="0.3">
      <c r="A228" s="2">
        <v>60110003</v>
      </c>
      <c r="B228" t="s">
        <v>38</v>
      </c>
      <c r="C228" s="8"/>
    </row>
    <row r="229" spans="1:3" x14ac:dyDescent="0.3">
      <c r="A229" s="2">
        <v>60110004</v>
      </c>
      <c r="B229" t="s">
        <v>37</v>
      </c>
      <c r="C229" s="8"/>
    </row>
    <row r="230" spans="1:3" x14ac:dyDescent="0.3">
      <c r="A230" s="2">
        <v>60110005</v>
      </c>
      <c r="B230" t="s">
        <v>194</v>
      </c>
      <c r="C230" s="8"/>
    </row>
    <row r="231" spans="1:3" x14ac:dyDescent="0.3">
      <c r="A231" s="2">
        <v>60110006</v>
      </c>
      <c r="B231" t="s">
        <v>36</v>
      </c>
      <c r="C231" s="8"/>
    </row>
    <row r="232" spans="1:3" x14ac:dyDescent="0.3">
      <c r="A232" s="2">
        <v>60110007</v>
      </c>
      <c r="B232" t="s">
        <v>35</v>
      </c>
      <c r="C232" s="8"/>
    </row>
    <row r="233" spans="1:3" x14ac:dyDescent="0.3">
      <c r="A233" s="4">
        <v>60111</v>
      </c>
      <c r="B233" s="3" t="s">
        <v>45</v>
      </c>
      <c r="C233" s="8"/>
    </row>
    <row r="234" spans="1:3" x14ac:dyDescent="0.3">
      <c r="A234" s="2">
        <v>60111001</v>
      </c>
      <c r="B234" t="s">
        <v>46</v>
      </c>
      <c r="C234" s="8"/>
    </row>
    <row r="235" spans="1:3" x14ac:dyDescent="0.3">
      <c r="A235" s="2">
        <v>60111002</v>
      </c>
      <c r="B235" t="s">
        <v>195</v>
      </c>
      <c r="C235" s="8"/>
    </row>
    <row r="236" spans="1:3" x14ac:dyDescent="0.3">
      <c r="A236" s="2">
        <v>60111003</v>
      </c>
      <c r="B236" t="s">
        <v>196</v>
      </c>
      <c r="C236" s="8"/>
    </row>
    <row r="237" spans="1:3" x14ac:dyDescent="0.3">
      <c r="A237" s="2">
        <v>60111004</v>
      </c>
      <c r="B237" t="s">
        <v>197</v>
      </c>
      <c r="C237" s="8"/>
    </row>
    <row r="238" spans="1:3" x14ac:dyDescent="0.3">
      <c r="A238" s="2">
        <v>60111005</v>
      </c>
      <c r="B238" t="s">
        <v>198</v>
      </c>
      <c r="C238" s="8"/>
    </row>
    <row r="239" spans="1:3" x14ac:dyDescent="0.3">
      <c r="A239" s="4">
        <v>60112</v>
      </c>
      <c r="B239" s="3" t="s">
        <v>40</v>
      </c>
      <c r="C239" s="8"/>
    </row>
    <row r="240" spans="1:3" x14ac:dyDescent="0.3">
      <c r="A240" s="2">
        <v>60112001</v>
      </c>
      <c r="B240" t="s">
        <v>43</v>
      </c>
      <c r="C240" s="8"/>
    </row>
    <row r="241" spans="1:3" x14ac:dyDescent="0.3">
      <c r="A241" s="2">
        <v>60112002</v>
      </c>
      <c r="B241" t="s">
        <v>199</v>
      </c>
      <c r="C241" s="8"/>
    </row>
    <row r="242" spans="1:3" x14ac:dyDescent="0.3">
      <c r="A242" s="2">
        <v>60112003</v>
      </c>
      <c r="B242" t="s">
        <v>44</v>
      </c>
      <c r="C242" s="8"/>
    </row>
    <row r="243" spans="1:3" x14ac:dyDescent="0.3">
      <c r="A243" s="2">
        <v>60112004</v>
      </c>
      <c r="B243" t="s">
        <v>200</v>
      </c>
      <c r="C243" s="8"/>
    </row>
    <row r="244" spans="1:3" x14ac:dyDescent="0.3">
      <c r="A244" s="2">
        <v>60112005</v>
      </c>
      <c r="B244" t="s">
        <v>201</v>
      </c>
      <c r="C244" s="8"/>
    </row>
    <row r="245" spans="1:3" x14ac:dyDescent="0.3">
      <c r="A245" s="2">
        <v>60112006</v>
      </c>
      <c r="B245" t="s">
        <v>202</v>
      </c>
      <c r="C245" s="8"/>
    </row>
    <row r="246" spans="1:3" x14ac:dyDescent="0.3">
      <c r="A246" s="2">
        <v>60112007</v>
      </c>
      <c r="B246" t="s">
        <v>203</v>
      </c>
      <c r="C246" s="8"/>
    </row>
    <row r="247" spans="1:3" x14ac:dyDescent="0.3">
      <c r="A247" s="2">
        <v>60112008</v>
      </c>
      <c r="B247" t="s">
        <v>204</v>
      </c>
      <c r="C247" s="8"/>
    </row>
    <row r="248" spans="1:3" x14ac:dyDescent="0.3">
      <c r="A248" s="2">
        <v>60112009</v>
      </c>
      <c r="B248" t="s">
        <v>205</v>
      </c>
      <c r="C248" s="8"/>
    </row>
    <row r="249" spans="1:3" x14ac:dyDescent="0.3">
      <c r="A249" s="2">
        <v>60112010</v>
      </c>
      <c r="B249" t="s">
        <v>206</v>
      </c>
      <c r="C249" s="8"/>
    </row>
    <row r="250" spans="1:3" x14ac:dyDescent="0.3">
      <c r="A250" s="2">
        <v>60112011</v>
      </c>
      <c r="B250" t="s">
        <v>207</v>
      </c>
      <c r="C250" s="8"/>
    </row>
    <row r="251" spans="1:3" x14ac:dyDescent="0.3">
      <c r="A251" s="2">
        <v>60112012</v>
      </c>
      <c r="B251" t="s">
        <v>208</v>
      </c>
      <c r="C251" s="8"/>
    </row>
    <row r="252" spans="1:3" x14ac:dyDescent="0.3">
      <c r="A252" s="4">
        <v>60113</v>
      </c>
      <c r="B252" s="3" t="s">
        <v>209</v>
      </c>
      <c r="C252" s="8"/>
    </row>
    <row r="253" spans="1:3" x14ac:dyDescent="0.3">
      <c r="A253" s="2">
        <v>60113001</v>
      </c>
      <c r="B253" t="s">
        <v>210</v>
      </c>
      <c r="C253" s="8"/>
    </row>
    <row r="254" spans="1:3" x14ac:dyDescent="0.3">
      <c r="A254" s="2">
        <v>60113002</v>
      </c>
      <c r="B254" t="s">
        <v>211</v>
      </c>
      <c r="C254" s="8"/>
    </row>
    <row r="255" spans="1:3" x14ac:dyDescent="0.3">
      <c r="A255" s="2">
        <v>60113003</v>
      </c>
      <c r="B255" t="s">
        <v>212</v>
      </c>
      <c r="C255" s="8"/>
    </row>
    <row r="256" spans="1:3" x14ac:dyDescent="0.3">
      <c r="A256" s="2">
        <v>60113004</v>
      </c>
      <c r="B256" t="s">
        <v>213</v>
      </c>
      <c r="C256" s="8"/>
    </row>
    <row r="257" spans="1:3" x14ac:dyDescent="0.3">
      <c r="A257" s="2">
        <v>60113005</v>
      </c>
      <c r="B257" t="s">
        <v>214</v>
      </c>
      <c r="C257" s="8"/>
    </row>
    <row r="258" spans="1:3" x14ac:dyDescent="0.3">
      <c r="A258" s="2">
        <v>60113006</v>
      </c>
      <c r="B258" t="s">
        <v>215</v>
      </c>
      <c r="C258" s="8"/>
    </row>
    <row r="259" spans="1:3" x14ac:dyDescent="0.3">
      <c r="A259" s="2">
        <v>60113007</v>
      </c>
      <c r="B259" t="s">
        <v>216</v>
      </c>
      <c r="C259" s="8"/>
    </row>
    <row r="260" spans="1:3" x14ac:dyDescent="0.3">
      <c r="A260" s="2">
        <v>60113008</v>
      </c>
      <c r="B260" t="s">
        <v>217</v>
      </c>
      <c r="C260" s="8"/>
    </row>
    <row r="261" spans="1:3" x14ac:dyDescent="0.3">
      <c r="A261" s="4">
        <v>60202</v>
      </c>
      <c r="B261" s="3" t="s">
        <v>218</v>
      </c>
      <c r="C261" s="8"/>
    </row>
    <row r="262" spans="1:3" x14ac:dyDescent="0.3">
      <c r="A262" s="2">
        <v>60202001</v>
      </c>
      <c r="B262" t="s">
        <v>49</v>
      </c>
      <c r="C262" s="8"/>
    </row>
    <row r="263" spans="1:3" x14ac:dyDescent="0.3">
      <c r="A263" s="2">
        <v>60202002</v>
      </c>
      <c r="B263" t="s">
        <v>48</v>
      </c>
      <c r="C263" s="8"/>
    </row>
    <row r="264" spans="1:3" x14ac:dyDescent="0.3">
      <c r="A264" s="4">
        <v>60203</v>
      </c>
      <c r="B264" s="3" t="s">
        <v>130</v>
      </c>
      <c r="C264" s="8"/>
    </row>
    <row r="265" spans="1:3" x14ac:dyDescent="0.3">
      <c r="A265" s="2">
        <v>60203001</v>
      </c>
      <c r="B265" t="s">
        <v>131</v>
      </c>
      <c r="C265" s="8"/>
    </row>
    <row r="266" spans="1:3" x14ac:dyDescent="0.3">
      <c r="A266" s="2">
        <v>60203003</v>
      </c>
      <c r="B266" t="s">
        <v>219</v>
      </c>
      <c r="C266" s="8"/>
    </row>
    <row r="267" spans="1:3" x14ac:dyDescent="0.3">
      <c r="A267" s="2">
        <v>60203004</v>
      </c>
      <c r="B267" t="s">
        <v>47</v>
      </c>
      <c r="C267" s="8"/>
    </row>
    <row r="268" spans="1:3" x14ac:dyDescent="0.3">
      <c r="A268" s="2">
        <v>60203005</v>
      </c>
      <c r="B268" t="s">
        <v>220</v>
      </c>
      <c r="C268" s="8"/>
    </row>
  </sheetData>
  <autoFilter ref="A1:C268" xr:uid="{00000000-0001-0000-0000-0000000000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B75A-1239-42E6-8C82-A53BD1249B5F}">
  <sheetPr>
    <tabColor rgb="FFFFFF00"/>
  </sheetPr>
  <dimension ref="A1:E29"/>
  <sheetViews>
    <sheetView showGridLines="0" zoomScale="160" zoomScaleNormal="160" workbookViewId="0">
      <selection activeCell="D29" sqref="D29"/>
    </sheetView>
  </sheetViews>
  <sheetFormatPr baseColWidth="10" defaultRowHeight="14.4" x14ac:dyDescent="0.3"/>
  <cols>
    <col min="1" max="1" width="2.33203125" customWidth="1"/>
    <col min="3" max="3" width="15.88671875" customWidth="1"/>
    <col min="4" max="4" width="11.44140625" style="15"/>
  </cols>
  <sheetData>
    <row r="1" spans="1:5" x14ac:dyDescent="0.3">
      <c r="A1" s="3" t="s">
        <v>411</v>
      </c>
    </row>
    <row r="2" spans="1:5" x14ac:dyDescent="0.3">
      <c r="A2" s="158" t="s">
        <v>248</v>
      </c>
      <c r="B2" s="158"/>
      <c r="C2" s="158"/>
      <c r="D2" s="158"/>
      <c r="E2" s="158"/>
    </row>
    <row r="3" spans="1:5" x14ac:dyDescent="0.3">
      <c r="A3" s="158" t="s">
        <v>407</v>
      </c>
      <c r="B3" s="158"/>
      <c r="C3" s="158"/>
      <c r="D3" s="158"/>
      <c r="E3" s="158"/>
    </row>
    <row r="4" spans="1:5" x14ac:dyDescent="0.3">
      <c r="A4" s="158" t="s">
        <v>249</v>
      </c>
      <c r="B4" s="158"/>
      <c r="C4" s="158"/>
      <c r="D4" s="158"/>
      <c r="E4" s="158"/>
    </row>
    <row r="5" spans="1:5" ht="8.25" customHeight="1" x14ac:dyDescent="0.3"/>
    <row r="6" spans="1:5" x14ac:dyDescent="0.3">
      <c r="A6" s="3" t="s">
        <v>0</v>
      </c>
    </row>
    <row r="7" spans="1:5" x14ac:dyDescent="0.3">
      <c r="A7" s="3"/>
      <c r="B7" s="3" t="s">
        <v>398</v>
      </c>
    </row>
    <row r="8" spans="1:5" x14ac:dyDescent="0.3">
      <c r="A8" s="3"/>
      <c r="B8" t="s">
        <v>403</v>
      </c>
      <c r="D8" s="15">
        <v>6300</v>
      </c>
    </row>
    <row r="9" spans="1:5" x14ac:dyDescent="0.3">
      <c r="A9" s="3"/>
      <c r="B9" t="s">
        <v>404</v>
      </c>
      <c r="D9" s="15">
        <v>4200</v>
      </c>
    </row>
    <row r="10" spans="1:5" x14ac:dyDescent="0.3">
      <c r="A10" s="3"/>
      <c r="B10" t="s">
        <v>405</v>
      </c>
      <c r="D10" s="15">
        <v>6400</v>
      </c>
    </row>
    <row r="11" spans="1:5" ht="6" customHeight="1" x14ac:dyDescent="0.3">
      <c r="A11" s="3"/>
    </row>
    <row r="12" spans="1:5" x14ac:dyDescent="0.3">
      <c r="A12" s="3"/>
      <c r="B12" s="3" t="s">
        <v>399</v>
      </c>
    </row>
    <row r="13" spans="1:5" x14ac:dyDescent="0.3">
      <c r="A13" s="3"/>
      <c r="B13" t="s">
        <v>420</v>
      </c>
      <c r="D13" s="15">
        <v>7000</v>
      </c>
    </row>
    <row r="14" spans="1:5" x14ac:dyDescent="0.3">
      <c r="A14" s="3"/>
      <c r="B14" t="s">
        <v>406</v>
      </c>
      <c r="D14" s="15">
        <v>3000</v>
      </c>
    </row>
    <row r="15" spans="1:5" ht="6.75" customHeight="1" x14ac:dyDescent="0.3">
      <c r="A15" s="3"/>
      <c r="B15" s="14"/>
      <c r="D15" s="18"/>
    </row>
    <row r="16" spans="1:5" s="3" customFormat="1" x14ac:dyDescent="0.3">
      <c r="B16" s="16" t="s">
        <v>252</v>
      </c>
      <c r="C16"/>
      <c r="D16" s="17">
        <f>SUM(D8+D9+D10+D13+D14)</f>
        <v>26900</v>
      </c>
    </row>
    <row r="17" spans="1:4" x14ac:dyDescent="0.3">
      <c r="A17" s="3"/>
      <c r="B17" s="16"/>
      <c r="C17" s="3"/>
    </row>
    <row r="18" spans="1:4" x14ac:dyDescent="0.3">
      <c r="A18" s="3" t="s">
        <v>11</v>
      </c>
      <c r="B18" s="14"/>
    </row>
    <row r="19" spans="1:4" x14ac:dyDescent="0.3">
      <c r="A19" s="3"/>
      <c r="B19" s="14" t="s">
        <v>12</v>
      </c>
    </row>
    <row r="20" spans="1:4" x14ac:dyDescent="0.3">
      <c r="A20" s="3"/>
      <c r="B20" s="14" t="s">
        <v>408</v>
      </c>
      <c r="D20" s="15">
        <v>4000</v>
      </c>
    </row>
    <row r="21" spans="1:4" x14ac:dyDescent="0.3">
      <c r="A21" s="3"/>
      <c r="B21" s="14" t="s">
        <v>409</v>
      </c>
      <c r="D21" s="15">
        <v>2000</v>
      </c>
    </row>
    <row r="22" spans="1:4" ht="6.6" customHeight="1" x14ac:dyDescent="0.3">
      <c r="A22" s="3"/>
      <c r="B22" s="14"/>
    </row>
    <row r="23" spans="1:4" x14ac:dyDescent="0.3">
      <c r="A23" s="3"/>
      <c r="B23" s="14" t="s">
        <v>112</v>
      </c>
    </row>
    <row r="24" spans="1:4" x14ac:dyDescent="0.3">
      <c r="A24" s="3"/>
    </row>
    <row r="25" spans="1:4" x14ac:dyDescent="0.3">
      <c r="A25" s="3" t="s">
        <v>117</v>
      </c>
    </row>
    <row r="26" spans="1:4" x14ac:dyDescent="0.3">
      <c r="B26" t="s">
        <v>410</v>
      </c>
      <c r="D26" s="18">
        <v>20900</v>
      </c>
    </row>
    <row r="27" spans="1:4" ht="6.75" customHeight="1" x14ac:dyDescent="0.3">
      <c r="B27" s="14"/>
    </row>
    <row r="28" spans="1:4" s="3" customFormat="1" x14ac:dyDescent="0.3">
      <c r="B28" t="s">
        <v>236</v>
      </c>
      <c r="C28"/>
      <c r="D28" s="17">
        <v>26900</v>
      </c>
    </row>
    <row r="29" spans="1:4" x14ac:dyDescent="0.3">
      <c r="B29" s="16"/>
      <c r="C29" s="3"/>
    </row>
  </sheetData>
  <mergeCells count="3">
    <mergeCell ref="A2:E2"/>
    <mergeCell ref="A3:E3"/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0D81-8BF0-469A-A6E8-9CFFD36DC6E3}">
  <sheetPr>
    <tabColor rgb="FFFFFF00"/>
  </sheetPr>
  <dimension ref="A1:G94"/>
  <sheetViews>
    <sheetView showGridLines="0" topLeftCell="A3" zoomScale="110" zoomScaleNormal="110" workbookViewId="0">
      <pane ySplit="1" topLeftCell="A72" activePane="bottomLeft" state="frozen"/>
      <selection activeCell="A3" sqref="A3"/>
      <selection pane="bottomLeft" activeCell="D87" sqref="D87"/>
    </sheetView>
  </sheetViews>
  <sheetFormatPr baseColWidth="10" defaultRowHeight="14.4" x14ac:dyDescent="0.3"/>
  <cols>
    <col min="1" max="1" width="12.5546875" customWidth="1"/>
    <col min="2" max="2" width="34.5546875" customWidth="1"/>
    <col min="3" max="4" width="11.44140625" style="15"/>
  </cols>
  <sheetData>
    <row r="1" spans="1:7" x14ac:dyDescent="0.3">
      <c r="A1" s="158" t="s">
        <v>247</v>
      </c>
      <c r="B1" s="158"/>
      <c r="C1" s="158"/>
      <c r="D1" s="158"/>
    </row>
    <row r="2" spans="1:7" ht="7.5" customHeight="1" x14ac:dyDescent="0.3"/>
    <row r="3" spans="1:7" ht="21.75" customHeight="1" x14ac:dyDescent="0.3">
      <c r="A3" s="12" t="s">
        <v>237</v>
      </c>
      <c r="B3" s="12" t="s">
        <v>238</v>
      </c>
      <c r="C3" s="20" t="s">
        <v>239</v>
      </c>
      <c r="D3" s="20" t="s">
        <v>240</v>
      </c>
    </row>
    <row r="4" spans="1:7" x14ac:dyDescent="0.3">
      <c r="A4" s="19">
        <v>45108</v>
      </c>
      <c r="B4" s="134" t="s">
        <v>253</v>
      </c>
      <c r="C4" s="21"/>
      <c r="D4" s="21"/>
      <c r="F4" s="13">
        <v>6300</v>
      </c>
      <c r="G4" s="13">
        <v>9400</v>
      </c>
    </row>
    <row r="5" spans="1:7" x14ac:dyDescent="0.3">
      <c r="A5" s="13"/>
      <c r="B5" s="126" t="s">
        <v>264</v>
      </c>
      <c r="C5" s="157">
        <v>6300</v>
      </c>
      <c r="D5" s="127"/>
      <c r="F5" s="13">
        <v>3760</v>
      </c>
      <c r="G5" s="13">
        <v>7500</v>
      </c>
    </row>
    <row r="6" spans="1:7" x14ac:dyDescent="0.3">
      <c r="A6" s="13"/>
      <c r="B6" s="126" t="s">
        <v>412</v>
      </c>
      <c r="C6" s="127">
        <v>4200</v>
      </c>
      <c r="D6" s="127"/>
      <c r="F6" s="13"/>
      <c r="G6" s="13">
        <v>11347.7</v>
      </c>
    </row>
    <row r="7" spans="1:7" x14ac:dyDescent="0.3">
      <c r="A7" s="13"/>
      <c r="B7" s="126" t="s">
        <v>251</v>
      </c>
      <c r="C7" s="127">
        <v>6400</v>
      </c>
      <c r="D7" s="127"/>
      <c r="F7" s="13"/>
      <c r="G7" s="13">
        <v>500</v>
      </c>
    </row>
    <row r="8" spans="1:7" x14ac:dyDescent="0.3">
      <c r="A8" s="13"/>
      <c r="B8" s="126" t="s">
        <v>77</v>
      </c>
      <c r="C8" s="127">
        <v>7000</v>
      </c>
      <c r="D8" s="127"/>
      <c r="F8" s="13"/>
      <c r="G8" s="13"/>
    </row>
    <row r="9" spans="1:7" x14ac:dyDescent="0.3">
      <c r="A9" s="13"/>
      <c r="B9" s="126" t="s">
        <v>6</v>
      </c>
      <c r="C9" s="127">
        <v>3000</v>
      </c>
      <c r="D9" s="127"/>
      <c r="F9" s="13"/>
      <c r="G9" s="13"/>
    </row>
    <row r="10" spans="1:7" x14ac:dyDescent="0.3">
      <c r="A10" s="13"/>
      <c r="B10" s="128" t="s">
        <v>413</v>
      </c>
      <c r="C10" s="127"/>
      <c r="D10" s="127">
        <v>4000</v>
      </c>
      <c r="F10" s="13"/>
      <c r="G10" s="13"/>
    </row>
    <row r="11" spans="1:7" x14ac:dyDescent="0.3">
      <c r="A11" s="13"/>
      <c r="B11" s="128" t="s">
        <v>275</v>
      </c>
      <c r="C11" s="127"/>
      <c r="D11" s="127">
        <v>2000</v>
      </c>
      <c r="F11" s="13"/>
      <c r="G11" s="13"/>
    </row>
    <row r="12" spans="1:7" x14ac:dyDescent="0.3">
      <c r="A12" s="13"/>
      <c r="B12" s="128" t="s">
        <v>266</v>
      </c>
      <c r="C12" s="127"/>
      <c r="D12" s="127">
        <v>20900</v>
      </c>
      <c r="F12" s="13"/>
      <c r="G12" s="13"/>
    </row>
    <row r="13" spans="1:7" x14ac:dyDescent="0.3">
      <c r="A13" s="19"/>
      <c r="B13" s="129" t="s">
        <v>415</v>
      </c>
      <c r="C13" s="127"/>
      <c r="D13" s="127"/>
      <c r="F13" s="13"/>
      <c r="G13" s="13"/>
    </row>
    <row r="14" spans="1:7" x14ac:dyDescent="0.3">
      <c r="A14" s="19">
        <v>45109</v>
      </c>
      <c r="B14" s="135" t="s">
        <v>272</v>
      </c>
      <c r="C14" s="127"/>
      <c r="D14" s="127"/>
    </row>
    <row r="15" spans="1:7" x14ac:dyDescent="0.3">
      <c r="A15" s="13"/>
      <c r="B15" s="126" t="s">
        <v>264</v>
      </c>
      <c r="C15" s="155">
        <v>3760</v>
      </c>
      <c r="D15" s="127"/>
    </row>
    <row r="16" spans="1:7" x14ac:dyDescent="0.3">
      <c r="A16" s="13"/>
      <c r="B16" s="126" t="s">
        <v>441</v>
      </c>
      <c r="C16" s="127">
        <v>5640</v>
      </c>
      <c r="D16" s="127"/>
    </row>
    <row r="17" spans="1:7" x14ac:dyDescent="0.3">
      <c r="A17" s="13"/>
      <c r="B17" s="126" t="s">
        <v>451</v>
      </c>
      <c r="C17" s="127">
        <v>282</v>
      </c>
      <c r="D17" s="127"/>
    </row>
    <row r="18" spans="1:7" x14ac:dyDescent="0.3">
      <c r="A18" s="13"/>
      <c r="B18" s="128" t="s">
        <v>243</v>
      </c>
      <c r="C18" s="127"/>
      <c r="D18" s="127">
        <v>8178</v>
      </c>
    </row>
    <row r="19" spans="1:7" x14ac:dyDescent="0.3">
      <c r="A19" s="13"/>
      <c r="B19" s="128" t="s">
        <v>244</v>
      </c>
      <c r="C19" s="127"/>
      <c r="D19" s="127">
        <v>1222</v>
      </c>
    </row>
    <row r="20" spans="1:7" x14ac:dyDescent="0.3">
      <c r="A20" s="13"/>
      <c r="B20" s="128" t="s">
        <v>369</v>
      </c>
      <c r="C20" s="127"/>
      <c r="D20" s="127">
        <v>282</v>
      </c>
      <c r="G20">
        <v>6300</v>
      </c>
    </row>
    <row r="21" spans="1:7" x14ac:dyDescent="0.3">
      <c r="A21" s="19"/>
      <c r="B21" s="130" t="s">
        <v>416</v>
      </c>
      <c r="C21" s="127"/>
      <c r="D21" s="127"/>
      <c r="E21">
        <v>6300</v>
      </c>
    </row>
    <row r="22" spans="1:7" x14ac:dyDescent="0.3">
      <c r="A22" s="19">
        <v>45114</v>
      </c>
      <c r="B22" s="135" t="s">
        <v>267</v>
      </c>
      <c r="C22" s="127"/>
      <c r="D22" s="127"/>
    </row>
    <row r="23" spans="1:7" x14ac:dyDescent="0.3">
      <c r="A23" s="13"/>
      <c r="B23" s="131" t="s">
        <v>251</v>
      </c>
      <c r="C23" s="127">
        <v>5655</v>
      </c>
      <c r="D23" s="127"/>
    </row>
    <row r="24" spans="1:7" x14ac:dyDescent="0.3">
      <c r="A24" s="13"/>
      <c r="B24" s="126" t="s">
        <v>269</v>
      </c>
      <c r="C24" s="127">
        <v>845</v>
      </c>
      <c r="D24" s="127"/>
    </row>
    <row r="25" spans="1:7" x14ac:dyDescent="0.3">
      <c r="A25" s="13"/>
      <c r="B25" s="128" t="s">
        <v>412</v>
      </c>
      <c r="C25" s="127"/>
      <c r="D25" s="127">
        <v>3500</v>
      </c>
    </row>
    <row r="26" spans="1:7" x14ac:dyDescent="0.3">
      <c r="A26" s="19"/>
      <c r="B26" s="128" t="s">
        <v>275</v>
      </c>
      <c r="C26" s="127"/>
      <c r="D26" s="127">
        <v>3000</v>
      </c>
    </row>
    <row r="27" spans="1:7" x14ac:dyDescent="0.3">
      <c r="A27" s="13"/>
      <c r="B27" s="130" t="s">
        <v>417</v>
      </c>
      <c r="C27" s="127"/>
      <c r="D27" s="127"/>
    </row>
    <row r="28" spans="1:7" x14ac:dyDescent="0.3">
      <c r="A28" s="19">
        <v>45117</v>
      </c>
      <c r="B28" s="136" t="s">
        <v>274</v>
      </c>
      <c r="C28" s="127"/>
      <c r="D28" s="127"/>
    </row>
    <row r="29" spans="1:7" x14ac:dyDescent="0.3">
      <c r="A29" s="13"/>
      <c r="B29" s="126" t="s">
        <v>412</v>
      </c>
      <c r="C29" s="127">
        <v>9400</v>
      </c>
      <c r="D29" s="127"/>
    </row>
    <row r="30" spans="1:7" x14ac:dyDescent="0.3">
      <c r="A30" s="19"/>
      <c r="B30" s="128" t="s">
        <v>264</v>
      </c>
      <c r="C30" s="127"/>
      <c r="D30" s="156">
        <v>9400</v>
      </c>
    </row>
    <row r="31" spans="1:7" x14ac:dyDescent="0.3">
      <c r="A31" s="13"/>
      <c r="B31" s="130" t="s">
        <v>418</v>
      </c>
      <c r="C31" s="127"/>
      <c r="D31" s="127"/>
    </row>
    <row r="32" spans="1:7" x14ac:dyDescent="0.3">
      <c r="A32" s="19">
        <v>45119</v>
      </c>
      <c r="B32" s="136" t="s">
        <v>340</v>
      </c>
      <c r="C32" s="127"/>
      <c r="D32" s="127"/>
    </row>
    <row r="33" spans="1:5" x14ac:dyDescent="0.3">
      <c r="A33" s="19"/>
      <c r="B33" s="126" t="s">
        <v>77</v>
      </c>
      <c r="C33" s="127">
        <v>15000</v>
      </c>
      <c r="D33" s="127"/>
    </row>
    <row r="34" spans="1:5" x14ac:dyDescent="0.3">
      <c r="A34" s="19"/>
      <c r="B34" s="128" t="s">
        <v>264</v>
      </c>
      <c r="C34" s="127"/>
      <c r="D34" s="156">
        <v>7500</v>
      </c>
    </row>
    <row r="35" spans="1:5" x14ac:dyDescent="0.3">
      <c r="A35" s="19"/>
      <c r="B35" s="128" t="s">
        <v>255</v>
      </c>
      <c r="C35" s="127"/>
      <c r="D35" s="127">
        <v>7500</v>
      </c>
    </row>
    <row r="36" spans="1:5" x14ac:dyDescent="0.3">
      <c r="A36" s="13"/>
      <c r="B36" s="130" t="s">
        <v>419</v>
      </c>
      <c r="C36" s="127"/>
      <c r="D36" s="127"/>
    </row>
    <row r="37" spans="1:5" x14ac:dyDescent="0.3">
      <c r="A37" s="19">
        <v>45122</v>
      </c>
      <c r="B37" s="136" t="s">
        <v>270</v>
      </c>
      <c r="C37" s="127"/>
      <c r="D37" s="127"/>
    </row>
    <row r="38" spans="1:5" x14ac:dyDescent="0.3">
      <c r="A38" s="19"/>
      <c r="B38" s="126" t="s">
        <v>421</v>
      </c>
      <c r="C38" s="127">
        <v>13000</v>
      </c>
      <c r="D38" s="127"/>
    </row>
    <row r="39" spans="1:5" x14ac:dyDescent="0.3">
      <c r="A39" s="19"/>
      <c r="B39" s="128" t="s">
        <v>264</v>
      </c>
      <c r="C39" s="127"/>
      <c r="D39" s="156">
        <v>11347.7</v>
      </c>
    </row>
    <row r="40" spans="1:5" x14ac:dyDescent="0.3">
      <c r="A40" s="19"/>
      <c r="B40" s="128" t="s">
        <v>256</v>
      </c>
      <c r="C40" s="127"/>
      <c r="D40" s="127">
        <v>1652.3</v>
      </c>
    </row>
    <row r="41" spans="1:5" x14ac:dyDescent="0.3">
      <c r="A41" s="19"/>
      <c r="B41" s="130" t="s">
        <v>422</v>
      </c>
      <c r="C41" s="127"/>
      <c r="D41" s="127"/>
    </row>
    <row r="42" spans="1:5" x14ac:dyDescent="0.3">
      <c r="A42" s="19">
        <v>45122</v>
      </c>
      <c r="B42" s="136" t="s">
        <v>341</v>
      </c>
      <c r="C42" s="127"/>
      <c r="D42" s="127"/>
    </row>
    <row r="43" spans="1:5" x14ac:dyDescent="0.3">
      <c r="A43" s="13"/>
      <c r="B43" s="126" t="s">
        <v>259</v>
      </c>
      <c r="C43" s="127">
        <v>872.3</v>
      </c>
      <c r="D43" s="127"/>
    </row>
    <row r="44" spans="1:5" x14ac:dyDescent="0.3">
      <c r="A44" s="13"/>
      <c r="B44" s="126" t="str">
        <f>+'Plan de cuentas'!B171</f>
        <v>CAJA DE SALUD 10%</v>
      </c>
      <c r="C44" s="127">
        <v>1300</v>
      </c>
      <c r="D44" s="127"/>
    </row>
    <row r="45" spans="1:5" x14ac:dyDescent="0.3">
      <c r="A45" s="19"/>
      <c r="B45" s="126" t="str">
        <f>+'Plan de cuentas'!B167</f>
        <v>AGUINALDOS</v>
      </c>
      <c r="C45" s="127">
        <v>1083.33</v>
      </c>
      <c r="D45" s="127"/>
    </row>
    <row r="46" spans="1:5" x14ac:dyDescent="0.3">
      <c r="A46" s="13"/>
      <c r="B46" s="126" t="str">
        <f>+'Plan de cuentas'!B168</f>
        <v>INDEMNIZACION</v>
      </c>
      <c r="C46" s="127">
        <v>1083.33</v>
      </c>
      <c r="D46" s="127"/>
    </row>
    <row r="47" spans="1:5" x14ac:dyDescent="0.3">
      <c r="A47" s="13"/>
      <c r="B47" s="126" t="str">
        <f>+'Plan de cuentas'!B169</f>
        <v>PRIMAS</v>
      </c>
      <c r="C47" s="127">
        <v>1083.33</v>
      </c>
      <c r="D47" s="127"/>
    </row>
    <row r="48" spans="1:5" x14ac:dyDescent="0.3">
      <c r="A48" s="13"/>
      <c r="B48" s="126" t="s">
        <v>342</v>
      </c>
      <c r="C48" s="127"/>
      <c r="D48" s="127">
        <v>872.3</v>
      </c>
      <c r="E48" s="15"/>
    </row>
    <row r="49" spans="1:4" x14ac:dyDescent="0.3">
      <c r="A49" s="13"/>
      <c r="B49" s="126" t="s">
        <v>343</v>
      </c>
      <c r="C49" s="127"/>
      <c r="D49" s="127">
        <v>1300</v>
      </c>
    </row>
    <row r="50" spans="1:4" x14ac:dyDescent="0.3">
      <c r="A50" s="13"/>
      <c r="B50" s="126" t="s">
        <v>344</v>
      </c>
      <c r="C50" s="127"/>
      <c r="D50" s="127">
        <v>1083.33</v>
      </c>
    </row>
    <row r="51" spans="1:4" x14ac:dyDescent="0.3">
      <c r="A51" s="13"/>
      <c r="B51" s="126" t="s">
        <v>345</v>
      </c>
      <c r="C51" s="127"/>
      <c r="D51" s="127">
        <v>1083.33</v>
      </c>
    </row>
    <row r="52" spans="1:4" x14ac:dyDescent="0.3">
      <c r="A52" s="13"/>
      <c r="B52" s="126" t="s">
        <v>346</v>
      </c>
      <c r="C52" s="127"/>
      <c r="D52" s="127">
        <v>1083.33</v>
      </c>
    </row>
    <row r="53" spans="1:4" x14ac:dyDescent="0.3">
      <c r="A53" s="13"/>
      <c r="B53" s="130" t="s">
        <v>423</v>
      </c>
      <c r="C53" s="127"/>
      <c r="D53" s="127"/>
    </row>
    <row r="54" spans="1:4" x14ac:dyDescent="0.3">
      <c r="A54" s="19">
        <v>45125</v>
      </c>
      <c r="B54" s="136" t="s">
        <v>424</v>
      </c>
      <c r="C54" s="127"/>
      <c r="D54" s="127"/>
    </row>
    <row r="55" spans="1:4" x14ac:dyDescent="0.3">
      <c r="A55" s="13"/>
      <c r="B55" s="126" t="s">
        <v>425</v>
      </c>
      <c r="C55" s="127">
        <v>500</v>
      </c>
      <c r="D55" s="127"/>
    </row>
    <row r="56" spans="1:4" x14ac:dyDescent="0.3">
      <c r="A56" s="13"/>
      <c r="B56" s="128" t="s">
        <v>264</v>
      </c>
      <c r="C56" s="127"/>
      <c r="D56" s="156">
        <v>500</v>
      </c>
    </row>
    <row r="57" spans="1:4" x14ac:dyDescent="0.3">
      <c r="A57" s="13"/>
      <c r="B57" s="126" t="s">
        <v>449</v>
      </c>
      <c r="C57" s="127"/>
      <c r="D57" s="127"/>
    </row>
    <row r="58" spans="1:4" x14ac:dyDescent="0.3">
      <c r="A58" s="19">
        <v>45128</v>
      </c>
      <c r="B58" s="136" t="s">
        <v>426</v>
      </c>
      <c r="C58" s="127"/>
      <c r="D58" s="127"/>
    </row>
    <row r="59" spans="1:4" x14ac:dyDescent="0.3">
      <c r="A59" s="13"/>
      <c r="B59" s="126" t="s">
        <v>264</v>
      </c>
      <c r="C59" s="155">
        <v>10000</v>
      </c>
      <c r="D59" s="127"/>
    </row>
    <row r="60" spans="1:4" x14ac:dyDescent="0.3">
      <c r="A60" s="13"/>
      <c r="B60" s="126" t="s">
        <v>414</v>
      </c>
      <c r="C60" s="127">
        <v>300</v>
      </c>
      <c r="D60" s="127" t="s">
        <v>452</v>
      </c>
    </row>
    <row r="61" spans="1:4" x14ac:dyDescent="0.3">
      <c r="A61" s="13"/>
      <c r="B61" s="128" t="s">
        <v>243</v>
      </c>
      <c r="C61" s="127"/>
      <c r="D61" s="127">
        <v>8700</v>
      </c>
    </row>
    <row r="62" spans="1:4" x14ac:dyDescent="0.3">
      <c r="A62" s="13"/>
      <c r="B62" s="128" t="s">
        <v>244</v>
      </c>
      <c r="C62" s="127"/>
      <c r="D62" s="127">
        <v>1300</v>
      </c>
    </row>
    <row r="63" spans="1:4" x14ac:dyDescent="0.3">
      <c r="A63" s="13"/>
      <c r="B63" s="128" t="s">
        <v>369</v>
      </c>
      <c r="C63" s="127"/>
      <c r="D63" s="127">
        <v>300</v>
      </c>
    </row>
    <row r="64" spans="1:4" x14ac:dyDescent="0.3">
      <c r="A64" s="13"/>
      <c r="B64" s="130" t="s">
        <v>427</v>
      </c>
      <c r="C64" s="127"/>
      <c r="D64" s="127"/>
    </row>
    <row r="65" spans="1:5" x14ac:dyDescent="0.3">
      <c r="A65" s="19">
        <v>45130</v>
      </c>
      <c r="B65" s="136" t="s">
        <v>428</v>
      </c>
      <c r="C65" s="127"/>
      <c r="D65" s="127"/>
    </row>
    <row r="66" spans="1:5" x14ac:dyDescent="0.3">
      <c r="A66" s="13"/>
      <c r="B66" s="126" t="s">
        <v>127</v>
      </c>
      <c r="C66" s="132">
        <v>2001</v>
      </c>
      <c r="D66" s="127"/>
    </row>
    <row r="67" spans="1:5" x14ac:dyDescent="0.3">
      <c r="A67" s="13"/>
      <c r="B67" s="126" t="s">
        <v>269</v>
      </c>
      <c r="C67" s="127">
        <v>299</v>
      </c>
      <c r="D67" s="127"/>
    </row>
    <row r="68" spans="1:5" x14ac:dyDescent="0.3">
      <c r="A68" s="13"/>
      <c r="B68" s="128" t="s">
        <v>264</v>
      </c>
      <c r="C68" s="127"/>
      <c r="D68" s="156">
        <v>2300</v>
      </c>
    </row>
    <row r="69" spans="1:5" x14ac:dyDescent="0.3">
      <c r="A69" s="13"/>
      <c r="B69" s="130" t="s">
        <v>429</v>
      </c>
      <c r="C69" s="127"/>
      <c r="D69" s="127"/>
    </row>
    <row r="70" spans="1:5" x14ac:dyDescent="0.3">
      <c r="A70" s="19">
        <v>45131</v>
      </c>
      <c r="B70" s="136" t="s">
        <v>433</v>
      </c>
      <c r="C70" s="127"/>
      <c r="D70" s="127"/>
    </row>
    <row r="71" spans="1:5" x14ac:dyDescent="0.3">
      <c r="A71" s="13"/>
      <c r="B71" s="126" t="s">
        <v>251</v>
      </c>
      <c r="C71" s="127">
        <v>3480</v>
      </c>
      <c r="D71" s="127"/>
    </row>
    <row r="72" spans="1:5" x14ac:dyDescent="0.3">
      <c r="A72" s="13"/>
      <c r="B72" s="133" t="s">
        <v>269</v>
      </c>
      <c r="C72" s="127">
        <v>520</v>
      </c>
      <c r="D72" s="127"/>
    </row>
    <row r="73" spans="1:5" x14ac:dyDescent="0.3">
      <c r="A73" s="13"/>
      <c r="B73" s="128" t="s">
        <v>430</v>
      </c>
      <c r="C73" s="127" t="s">
        <v>452</v>
      </c>
      <c r="D73" s="127">
        <v>139.19999999999999</v>
      </c>
      <c r="E73">
        <v>160</v>
      </c>
    </row>
    <row r="74" spans="1:5" x14ac:dyDescent="0.3">
      <c r="A74" s="13"/>
      <c r="B74" s="128" t="s">
        <v>275</v>
      </c>
      <c r="C74" s="127"/>
      <c r="D74" s="127">
        <v>3840</v>
      </c>
    </row>
    <row r="75" spans="1:5" x14ac:dyDescent="0.3">
      <c r="A75" s="13"/>
      <c r="B75" s="128" t="s">
        <v>244</v>
      </c>
      <c r="C75" s="127"/>
      <c r="D75" s="127">
        <v>20.8</v>
      </c>
    </row>
    <row r="76" spans="1:5" x14ac:dyDescent="0.3">
      <c r="A76" s="13"/>
      <c r="B76" s="129" t="s">
        <v>417</v>
      </c>
      <c r="C76" s="127"/>
      <c r="D76" s="127"/>
    </row>
    <row r="77" spans="1:5" x14ac:dyDescent="0.3">
      <c r="A77" s="19">
        <v>45135</v>
      </c>
      <c r="B77" s="137" t="s">
        <v>434</v>
      </c>
      <c r="C77" s="127"/>
      <c r="D77" s="127"/>
    </row>
    <row r="78" spans="1:5" x14ac:dyDescent="0.3">
      <c r="A78" s="13"/>
      <c r="B78" s="131" t="s">
        <v>275</v>
      </c>
      <c r="C78" s="127">
        <v>3840</v>
      </c>
      <c r="D78" s="127"/>
    </row>
    <row r="79" spans="1:5" x14ac:dyDescent="0.3">
      <c r="A79" s="13"/>
      <c r="B79" s="128" t="s">
        <v>264</v>
      </c>
      <c r="C79" s="127"/>
      <c r="D79" s="156">
        <v>3840</v>
      </c>
    </row>
    <row r="80" spans="1:5" x14ac:dyDescent="0.3">
      <c r="A80" s="13"/>
      <c r="B80" s="129" t="s">
        <v>431</v>
      </c>
      <c r="C80" s="127"/>
      <c r="D80" s="127"/>
    </row>
    <row r="81" spans="1:6" x14ac:dyDescent="0.3">
      <c r="A81" s="19">
        <v>45137</v>
      </c>
      <c r="B81" s="137" t="s">
        <v>432</v>
      </c>
      <c r="C81" s="127"/>
      <c r="D81" s="127"/>
    </row>
    <row r="82" spans="1:6" x14ac:dyDescent="0.3">
      <c r="A82" s="13"/>
      <c r="B82" s="131" t="s">
        <v>264</v>
      </c>
      <c r="C82" s="155">
        <v>2900</v>
      </c>
      <c r="D82" s="127"/>
    </row>
    <row r="83" spans="1:6" x14ac:dyDescent="0.3">
      <c r="A83" s="13"/>
      <c r="B83" s="131" t="s">
        <v>255</v>
      </c>
      <c r="C83" s="127">
        <v>2900</v>
      </c>
      <c r="D83" s="127"/>
    </row>
    <row r="84" spans="1:6" x14ac:dyDescent="0.3">
      <c r="A84" s="13"/>
      <c r="B84" s="131" t="s">
        <v>414</v>
      </c>
      <c r="C84" s="127">
        <v>174</v>
      </c>
      <c r="D84" s="127"/>
    </row>
    <row r="85" spans="1:6" x14ac:dyDescent="0.3">
      <c r="A85" s="13"/>
      <c r="B85" s="128" t="s">
        <v>243</v>
      </c>
      <c r="C85" s="127"/>
      <c r="D85" s="127">
        <v>5046</v>
      </c>
    </row>
    <row r="86" spans="1:6" x14ac:dyDescent="0.3">
      <c r="A86" s="13"/>
      <c r="B86" s="128" t="s">
        <v>244</v>
      </c>
      <c r="C86" s="127"/>
      <c r="D86" s="127">
        <v>754</v>
      </c>
    </row>
    <row r="87" spans="1:6" x14ac:dyDescent="0.3">
      <c r="A87" s="13"/>
      <c r="B87" s="128" t="s">
        <v>369</v>
      </c>
      <c r="C87" s="127"/>
      <c r="D87" s="127">
        <v>174</v>
      </c>
    </row>
    <row r="88" spans="1:6" x14ac:dyDescent="0.3">
      <c r="A88" s="13"/>
      <c r="B88" s="129" t="s">
        <v>427</v>
      </c>
      <c r="C88" s="127"/>
      <c r="D88" s="127"/>
    </row>
    <row r="89" spans="1:6" x14ac:dyDescent="0.3">
      <c r="A89" s="19">
        <v>45138</v>
      </c>
      <c r="B89" s="137" t="s">
        <v>439</v>
      </c>
      <c r="C89" s="127"/>
      <c r="D89" s="127"/>
    </row>
    <row r="90" spans="1:6" x14ac:dyDescent="0.3">
      <c r="A90" s="13"/>
      <c r="B90" s="28" t="s">
        <v>269</v>
      </c>
      <c r="C90" s="142">
        <v>1632.8</v>
      </c>
      <c r="D90" s="21"/>
    </row>
    <row r="91" spans="1:6" x14ac:dyDescent="0.3">
      <c r="A91" s="13"/>
      <c r="B91" s="113" t="s">
        <v>244</v>
      </c>
      <c r="C91" s="21"/>
      <c r="D91" s="21">
        <v>1632.8</v>
      </c>
    </row>
    <row r="92" spans="1:6" x14ac:dyDescent="0.3">
      <c r="A92" s="13"/>
      <c r="B92" s="106" t="s">
        <v>443</v>
      </c>
      <c r="C92" s="21"/>
      <c r="D92" s="21"/>
    </row>
    <row r="93" spans="1:6" x14ac:dyDescent="0.3">
      <c r="A93" s="13"/>
      <c r="B93" s="13"/>
      <c r="C93" s="21">
        <f>SUM(C4:C92)</f>
        <v>114451.09000000001</v>
      </c>
      <c r="D93" s="21">
        <f>SUM(D4:D92)</f>
        <v>114451.09000000001</v>
      </c>
      <c r="E93" s="15"/>
      <c r="F93" s="15"/>
    </row>
    <row r="94" spans="1:6" x14ac:dyDescent="0.3">
      <c r="C94" s="15">
        <f>C93-D93</f>
        <v>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7C56-F1A8-49B6-A71E-C5C79EC6C035}">
  <sheetPr>
    <tabColor rgb="FFFFFF00"/>
  </sheetPr>
  <dimension ref="A2:P167"/>
  <sheetViews>
    <sheetView zoomScaleNormal="100" workbookViewId="0">
      <selection activeCell="Q16" sqref="Q16"/>
    </sheetView>
  </sheetViews>
  <sheetFormatPr baseColWidth="10" defaultRowHeight="14.4" x14ac:dyDescent="0.3"/>
  <cols>
    <col min="1" max="2" width="11.44140625" style="15"/>
    <col min="3" max="3" width="5.109375" style="15" customWidth="1"/>
    <col min="4" max="5" width="11.44140625" style="15"/>
    <col min="6" max="6" width="5.109375" style="15" customWidth="1"/>
    <col min="7" max="8" width="11.44140625" style="15"/>
    <col min="9" max="9" width="5.109375" style="15" customWidth="1"/>
    <col min="10" max="11" width="11.44140625" style="15"/>
    <col min="12" max="12" width="5.109375" style="15" customWidth="1"/>
    <col min="13" max="14" width="11.44140625" style="15"/>
  </cols>
  <sheetData>
    <row r="2" spans="1:16" x14ac:dyDescent="0.3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8"/>
      <c r="P2" s="138"/>
    </row>
    <row r="3" spans="1:16" s="3" customFormat="1" x14ac:dyDescent="0.3">
      <c r="A3" s="159" t="s">
        <v>264</v>
      </c>
      <c r="B3" s="159"/>
      <c r="C3" s="139"/>
      <c r="D3" s="160" t="str">
        <f>+'Libro Diario 1'!B6</f>
        <v>BANCO UNIÓN M/N</v>
      </c>
      <c r="E3" s="160"/>
      <c r="F3" s="139"/>
      <c r="G3" s="160" t="s">
        <v>435</v>
      </c>
      <c r="H3" s="160"/>
      <c r="I3" s="139"/>
      <c r="J3" s="159" t="s">
        <v>77</v>
      </c>
      <c r="K3" s="159"/>
      <c r="L3" s="139"/>
      <c r="M3" s="159" t="s">
        <v>440</v>
      </c>
      <c r="N3" s="159"/>
      <c r="O3" s="140"/>
      <c r="P3" s="140"/>
    </row>
    <row r="4" spans="1:16" x14ac:dyDescent="0.3">
      <c r="A4" s="141">
        <v>6300</v>
      </c>
      <c r="B4" s="132">
        <v>9400</v>
      </c>
      <c r="C4" s="132"/>
      <c r="D4" s="142">
        <v>4200</v>
      </c>
      <c r="E4" s="143">
        <v>3500</v>
      </c>
      <c r="F4" s="132"/>
      <c r="G4" s="142">
        <v>6400</v>
      </c>
      <c r="H4" s="143"/>
      <c r="I4" s="143"/>
      <c r="J4" s="141">
        <v>7000</v>
      </c>
      <c r="K4" s="132"/>
      <c r="L4" s="132"/>
      <c r="M4" s="144">
        <v>3000</v>
      </c>
      <c r="N4" s="145"/>
      <c r="O4" s="138"/>
      <c r="P4" s="138"/>
    </row>
    <row r="5" spans="1:16" x14ac:dyDescent="0.3">
      <c r="A5" s="142">
        <v>3760</v>
      </c>
      <c r="B5" s="132">
        <v>7500</v>
      </c>
      <c r="C5" s="132"/>
      <c r="D5" s="142">
        <v>9400</v>
      </c>
      <c r="E5" s="143">
        <v>7500</v>
      </c>
      <c r="F5" s="132"/>
      <c r="G5" s="142">
        <v>5655</v>
      </c>
      <c r="H5" s="143"/>
      <c r="I5" s="143"/>
      <c r="J5" s="146">
        <v>15000</v>
      </c>
      <c r="K5" s="147"/>
      <c r="L5" s="132"/>
      <c r="M5" s="142">
        <v>3000</v>
      </c>
      <c r="N5" s="132"/>
      <c r="O5" s="138"/>
      <c r="P5" s="138"/>
    </row>
    <row r="6" spans="1:16" x14ac:dyDescent="0.3">
      <c r="A6" s="142">
        <v>10000</v>
      </c>
      <c r="B6" s="132">
        <v>11347.7</v>
      </c>
      <c r="C6" s="132"/>
      <c r="D6" s="147">
        <v>2900</v>
      </c>
      <c r="E6" s="147">
        <v>0</v>
      </c>
      <c r="F6" s="132"/>
      <c r="G6" s="146">
        <v>3480</v>
      </c>
      <c r="H6" s="147"/>
      <c r="I6" s="132"/>
      <c r="J6" s="142">
        <f>+J4+J5</f>
        <v>22000</v>
      </c>
      <c r="K6" s="132"/>
      <c r="L6" s="132"/>
      <c r="M6" s="143"/>
      <c r="N6" s="143"/>
      <c r="O6" s="138"/>
      <c r="P6" s="138"/>
    </row>
    <row r="7" spans="1:16" x14ac:dyDescent="0.3">
      <c r="A7" s="142">
        <v>2900</v>
      </c>
      <c r="B7" s="132">
        <v>500</v>
      </c>
      <c r="C7" s="132"/>
      <c r="D7" s="142">
        <f>SUM(D4:D6)</f>
        <v>16500</v>
      </c>
      <c r="E7" s="143">
        <f>SUM(E4:E6)</f>
        <v>11000</v>
      </c>
      <c r="F7" s="132"/>
      <c r="G7" s="142">
        <f>+G4+G5+G6</f>
        <v>15535</v>
      </c>
      <c r="H7" s="132"/>
      <c r="I7" s="132"/>
      <c r="J7" s="143"/>
      <c r="K7" s="143"/>
      <c r="L7" s="132"/>
      <c r="M7" s="143"/>
      <c r="N7" s="143"/>
      <c r="O7" s="138"/>
      <c r="P7" s="138"/>
    </row>
    <row r="8" spans="1:16" x14ac:dyDescent="0.3">
      <c r="A8" s="142"/>
      <c r="B8" s="143">
        <v>2300</v>
      </c>
      <c r="C8" s="132"/>
      <c r="D8" s="142"/>
      <c r="E8" s="132">
        <f>+D7-E7</f>
        <v>5500</v>
      </c>
      <c r="F8" s="132"/>
      <c r="G8" s="143"/>
      <c r="H8" s="143"/>
      <c r="I8" s="132"/>
      <c r="J8" s="143"/>
      <c r="K8" s="143"/>
      <c r="L8" s="132"/>
      <c r="M8" s="143"/>
      <c r="N8" s="143"/>
      <c r="O8" s="138"/>
      <c r="P8" s="138"/>
    </row>
    <row r="9" spans="1:16" x14ac:dyDescent="0.3">
      <c r="A9" s="146"/>
      <c r="B9" s="147">
        <v>3840</v>
      </c>
      <c r="C9" s="132"/>
      <c r="D9" s="143"/>
      <c r="E9" s="143"/>
      <c r="F9" s="132"/>
      <c r="G9" s="143"/>
      <c r="H9" s="143"/>
      <c r="I9" s="132"/>
      <c r="J9" s="143"/>
      <c r="K9" s="143"/>
      <c r="L9" s="132"/>
      <c r="M9" s="143"/>
      <c r="N9" s="143"/>
      <c r="O9" s="138"/>
      <c r="P9" s="138"/>
    </row>
    <row r="10" spans="1:16" x14ac:dyDescent="0.3">
      <c r="A10" s="146">
        <f>SUM(A4:A7)</f>
        <v>22960</v>
      </c>
      <c r="B10" s="147">
        <f>SUM(B4:B9)</f>
        <v>34887.699999999997</v>
      </c>
      <c r="C10" s="132"/>
      <c r="D10" s="143"/>
      <c r="E10" s="143"/>
      <c r="F10" s="132"/>
      <c r="G10" s="143"/>
      <c r="H10" s="143"/>
      <c r="I10" s="132"/>
      <c r="J10" s="143"/>
      <c r="K10" s="143"/>
      <c r="L10" s="132"/>
      <c r="M10" s="143"/>
      <c r="N10" s="143"/>
      <c r="O10" s="138"/>
      <c r="P10" s="138"/>
    </row>
    <row r="11" spans="1:16" x14ac:dyDescent="0.3">
      <c r="A11" s="132"/>
      <c r="B11" s="132">
        <f>+A10-B10</f>
        <v>-11927.699999999997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8"/>
      <c r="P11" s="138"/>
    </row>
    <row r="12" spans="1:16" x14ac:dyDescent="0.3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8"/>
      <c r="P12" s="138"/>
    </row>
    <row r="13" spans="1:16" x14ac:dyDescent="0.3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8"/>
      <c r="P13" s="138"/>
    </row>
    <row r="14" spans="1:16" s="3" customFormat="1" x14ac:dyDescent="0.3">
      <c r="A14" s="159" t="s">
        <v>413</v>
      </c>
      <c r="B14" s="159"/>
      <c r="C14" s="139"/>
      <c r="D14" s="159" t="s">
        <v>275</v>
      </c>
      <c r="E14" s="159"/>
      <c r="F14" s="139"/>
      <c r="G14" s="159" t="s">
        <v>15</v>
      </c>
      <c r="H14" s="159"/>
      <c r="I14" s="139"/>
      <c r="J14" s="148" t="s">
        <v>436</v>
      </c>
      <c r="K14" s="148"/>
      <c r="L14" s="139"/>
      <c r="M14" s="159" t="s">
        <v>243</v>
      </c>
      <c r="N14" s="159"/>
      <c r="O14" s="140"/>
      <c r="P14" s="140"/>
    </row>
    <row r="15" spans="1:16" x14ac:dyDescent="0.3">
      <c r="A15" s="144"/>
      <c r="B15" s="145">
        <v>4000</v>
      </c>
      <c r="C15" s="132"/>
      <c r="D15" s="141">
        <v>3840</v>
      </c>
      <c r="E15" s="132">
        <v>2000</v>
      </c>
      <c r="F15" s="132"/>
      <c r="G15" s="144"/>
      <c r="H15" s="145">
        <v>20900</v>
      </c>
      <c r="I15" s="132"/>
      <c r="J15" s="141">
        <v>282</v>
      </c>
      <c r="K15" s="132"/>
      <c r="L15" s="132"/>
      <c r="M15" s="141"/>
      <c r="N15" s="132">
        <v>8178</v>
      </c>
      <c r="O15" s="138"/>
      <c r="P15" s="138"/>
    </row>
    <row r="16" spans="1:16" x14ac:dyDescent="0.3">
      <c r="A16" s="142"/>
      <c r="B16" s="132">
        <v>4000</v>
      </c>
      <c r="C16" s="132"/>
      <c r="D16" s="142"/>
      <c r="E16" s="132">
        <v>3000</v>
      </c>
      <c r="F16" s="132"/>
      <c r="G16" s="142"/>
      <c r="H16" s="132">
        <v>20900</v>
      </c>
      <c r="I16" s="132"/>
      <c r="J16" s="142">
        <v>300</v>
      </c>
      <c r="K16" s="132"/>
      <c r="L16" s="132"/>
      <c r="M16" s="142"/>
      <c r="N16" s="132">
        <v>8700</v>
      </c>
      <c r="O16" s="138"/>
      <c r="P16" s="138"/>
    </row>
    <row r="17" spans="1:16" x14ac:dyDescent="0.3">
      <c r="A17" s="143"/>
      <c r="B17" s="143"/>
      <c r="C17" s="132"/>
      <c r="D17" s="146"/>
      <c r="E17" s="147">
        <v>3840</v>
      </c>
      <c r="F17" s="132"/>
      <c r="G17" s="143"/>
      <c r="H17" s="143"/>
      <c r="I17" s="132"/>
      <c r="J17" s="146">
        <v>174</v>
      </c>
      <c r="K17" s="147"/>
      <c r="L17" s="132"/>
      <c r="M17" s="146"/>
      <c r="N17" s="147">
        <v>5046</v>
      </c>
      <c r="O17" s="138"/>
      <c r="P17" s="138"/>
    </row>
    <row r="18" spans="1:16" x14ac:dyDescent="0.3">
      <c r="A18" s="143"/>
      <c r="B18" s="143"/>
      <c r="C18" s="132"/>
      <c r="D18" s="144">
        <f>+D15</f>
        <v>3840</v>
      </c>
      <c r="E18" s="145">
        <f>+E15+E16+E17</f>
        <v>8840</v>
      </c>
      <c r="F18" s="132"/>
      <c r="G18" s="143"/>
      <c r="H18" s="143"/>
      <c r="I18" s="132"/>
      <c r="J18" s="142">
        <f>+J15+J17+J16</f>
        <v>756</v>
      </c>
      <c r="K18" s="132"/>
      <c r="L18" s="132"/>
      <c r="M18" s="142"/>
      <c r="N18" s="132">
        <f>+N15+N17+N16</f>
        <v>21924</v>
      </c>
      <c r="O18" s="138"/>
      <c r="P18" s="138"/>
    </row>
    <row r="19" spans="1:16" x14ac:dyDescent="0.3">
      <c r="A19" s="143"/>
      <c r="B19" s="143"/>
      <c r="C19" s="132"/>
      <c r="D19" s="142"/>
      <c r="E19" s="143">
        <f>E18-D18</f>
        <v>5000</v>
      </c>
      <c r="F19" s="132"/>
      <c r="G19" s="143"/>
      <c r="H19" s="143"/>
      <c r="I19" s="132"/>
      <c r="J19" s="143"/>
      <c r="K19" s="143"/>
      <c r="L19" s="132"/>
      <c r="M19" s="143"/>
      <c r="N19" s="143"/>
      <c r="O19" s="138"/>
      <c r="P19" s="138"/>
    </row>
    <row r="20" spans="1:16" x14ac:dyDescent="0.3">
      <c r="A20" s="143"/>
      <c r="B20" s="143"/>
      <c r="C20" s="132"/>
      <c r="D20" s="143"/>
      <c r="E20" s="143"/>
      <c r="F20" s="132"/>
      <c r="G20" s="143"/>
      <c r="H20" s="143"/>
      <c r="I20" s="132"/>
      <c r="J20" s="143"/>
      <c r="K20" s="143"/>
      <c r="L20" s="132"/>
      <c r="M20" s="143"/>
      <c r="N20" s="143"/>
      <c r="O20" s="138"/>
      <c r="P20" s="138"/>
    </row>
    <row r="21" spans="1:16" x14ac:dyDescent="0.3">
      <c r="A21" s="143"/>
      <c r="B21" s="143"/>
      <c r="C21" s="132"/>
      <c r="D21" s="143"/>
      <c r="E21" s="143"/>
      <c r="F21" s="132"/>
      <c r="G21" s="143"/>
      <c r="H21" s="143"/>
      <c r="I21" s="132"/>
      <c r="J21" s="143"/>
      <c r="K21" s="143"/>
      <c r="L21" s="132"/>
      <c r="M21" s="143"/>
      <c r="N21" s="143"/>
      <c r="O21" s="138"/>
      <c r="P21" s="138"/>
    </row>
    <row r="22" spans="1:16" x14ac:dyDescent="0.3">
      <c r="A22" s="132"/>
      <c r="B22" s="132"/>
      <c r="C22" s="132"/>
      <c r="D22" s="143"/>
      <c r="E22" s="143"/>
      <c r="F22" s="132"/>
      <c r="G22" s="132"/>
      <c r="H22" s="132"/>
      <c r="I22" s="132"/>
      <c r="J22" s="132"/>
      <c r="K22" s="132"/>
      <c r="L22" s="132"/>
      <c r="M22" s="132"/>
      <c r="N22" s="132"/>
      <c r="O22" s="138"/>
      <c r="P22" s="138"/>
    </row>
    <row r="23" spans="1:16" s="3" customFormat="1" x14ac:dyDescent="0.3">
      <c r="A23" s="159" t="s">
        <v>244</v>
      </c>
      <c r="B23" s="159"/>
      <c r="C23" s="139"/>
      <c r="D23" s="159" t="s">
        <v>369</v>
      </c>
      <c r="E23" s="159"/>
      <c r="F23" s="139"/>
      <c r="G23" s="159" t="s">
        <v>269</v>
      </c>
      <c r="H23" s="161"/>
      <c r="I23" s="139"/>
      <c r="J23" s="159" t="s">
        <v>144</v>
      </c>
      <c r="K23" s="159"/>
      <c r="L23" s="139"/>
      <c r="M23" s="149" t="s">
        <v>437</v>
      </c>
      <c r="N23" s="149"/>
      <c r="O23" s="140"/>
      <c r="P23" s="140"/>
    </row>
    <row r="24" spans="1:16" x14ac:dyDescent="0.3">
      <c r="A24" s="141">
        <v>1664</v>
      </c>
      <c r="B24" s="132">
        <v>1222</v>
      </c>
      <c r="C24" s="132"/>
      <c r="D24" s="141"/>
      <c r="E24" s="132">
        <v>282</v>
      </c>
      <c r="F24" s="132"/>
      <c r="G24" s="141">
        <v>845</v>
      </c>
      <c r="H24" s="132">
        <v>3296.8</v>
      </c>
      <c r="I24" s="132"/>
      <c r="J24" s="144">
        <v>13000</v>
      </c>
      <c r="K24" s="145"/>
      <c r="L24" s="132"/>
      <c r="M24" s="146"/>
      <c r="N24" s="147">
        <v>1652.3</v>
      </c>
      <c r="O24" s="138"/>
      <c r="P24" s="138"/>
    </row>
    <row r="25" spans="1:16" x14ac:dyDescent="0.3">
      <c r="A25" s="142"/>
      <c r="B25" s="132">
        <v>1300</v>
      </c>
      <c r="C25" s="132"/>
      <c r="D25" s="142"/>
      <c r="E25" s="132">
        <v>300</v>
      </c>
      <c r="F25" s="132"/>
      <c r="G25" s="142">
        <v>299</v>
      </c>
      <c r="H25" s="132"/>
      <c r="I25" s="132"/>
      <c r="J25" s="142">
        <v>13000</v>
      </c>
      <c r="K25" s="143"/>
      <c r="L25" s="132"/>
      <c r="M25" s="142"/>
      <c r="N25" s="132">
        <v>1652.3</v>
      </c>
      <c r="O25" s="138"/>
      <c r="P25" s="138"/>
    </row>
    <row r="26" spans="1:16" x14ac:dyDescent="0.3">
      <c r="A26" s="142"/>
      <c r="B26" s="143">
        <v>754</v>
      </c>
      <c r="C26" s="132"/>
      <c r="D26" s="146"/>
      <c r="E26" s="147">
        <v>174</v>
      </c>
      <c r="F26" s="132"/>
      <c r="G26" s="146">
        <v>520</v>
      </c>
      <c r="H26" s="147"/>
      <c r="I26" s="132"/>
      <c r="J26" s="143"/>
      <c r="K26" s="143"/>
      <c r="L26" s="132"/>
      <c r="M26" s="143"/>
      <c r="N26" s="143"/>
      <c r="O26" s="138"/>
      <c r="P26" s="138"/>
    </row>
    <row r="27" spans="1:16" x14ac:dyDescent="0.3">
      <c r="A27" s="150"/>
      <c r="B27" s="151">
        <v>20.8</v>
      </c>
      <c r="C27" s="132"/>
      <c r="D27" s="141"/>
      <c r="E27" s="143">
        <f>+E24+E25+E26</f>
        <v>756</v>
      </c>
      <c r="F27" s="132"/>
      <c r="G27" s="154">
        <f>+G24+G25+G26</f>
        <v>1664</v>
      </c>
      <c r="H27" s="132">
        <f>+H24</f>
        <v>3296.8</v>
      </c>
      <c r="I27" s="132"/>
      <c r="J27" s="143"/>
      <c r="K27" s="143"/>
      <c r="L27" s="132"/>
      <c r="M27" s="143"/>
      <c r="N27" s="143"/>
      <c r="O27" s="138"/>
      <c r="P27" s="138"/>
    </row>
    <row r="28" spans="1:16" x14ac:dyDescent="0.3">
      <c r="A28" s="143">
        <v>1664</v>
      </c>
      <c r="B28" s="152">
        <f>SUM(B24+B25+B26+B27)</f>
        <v>3296.8</v>
      </c>
      <c r="C28" s="132"/>
      <c r="D28" s="143"/>
      <c r="E28" s="143"/>
      <c r="F28" s="132"/>
      <c r="G28" s="143"/>
      <c r="H28" s="152">
        <f>H27-G27</f>
        <v>1632.8000000000002</v>
      </c>
      <c r="I28" s="132"/>
      <c r="J28" s="143"/>
      <c r="K28" s="143"/>
      <c r="L28" s="132"/>
      <c r="M28" s="143"/>
      <c r="N28" s="143"/>
      <c r="O28" s="138"/>
      <c r="P28" s="138"/>
    </row>
    <row r="29" spans="1:16" x14ac:dyDescent="0.3">
      <c r="A29" s="153">
        <f>B28-A28</f>
        <v>1632.8000000000002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8"/>
      <c r="P29" s="138"/>
    </row>
    <row r="30" spans="1:16" s="3" customFormat="1" x14ac:dyDescent="0.3">
      <c r="A30" s="159" t="s">
        <v>438</v>
      </c>
      <c r="B30" s="159"/>
      <c r="C30" s="139"/>
      <c r="D30" s="159" t="s">
        <v>337</v>
      </c>
      <c r="E30" s="159"/>
      <c r="F30" s="139"/>
      <c r="G30" s="159" t="s">
        <v>41</v>
      </c>
      <c r="H30" s="159"/>
      <c r="I30" s="139"/>
      <c r="J30" s="159" t="s">
        <v>148</v>
      </c>
      <c r="K30" s="159"/>
      <c r="L30" s="139"/>
      <c r="M30" s="159" t="s">
        <v>261</v>
      </c>
      <c r="N30" s="159"/>
      <c r="O30" s="140"/>
      <c r="P30" s="140"/>
    </row>
    <row r="31" spans="1:16" x14ac:dyDescent="0.3">
      <c r="A31" s="144">
        <v>872.3</v>
      </c>
      <c r="B31" s="145"/>
      <c r="C31" s="132"/>
      <c r="D31" s="144">
        <v>1300</v>
      </c>
      <c r="E31" s="145"/>
      <c r="F31" s="132"/>
      <c r="G31" s="144">
        <v>1083.33</v>
      </c>
      <c r="H31" s="145"/>
      <c r="I31" s="132"/>
      <c r="J31" s="144">
        <v>1083.33</v>
      </c>
      <c r="K31" s="145"/>
      <c r="L31" s="132"/>
      <c r="M31" s="144">
        <v>1083.33</v>
      </c>
      <c r="N31" s="145"/>
      <c r="O31" s="138"/>
      <c r="P31" s="138"/>
    </row>
    <row r="32" spans="1:16" x14ac:dyDescent="0.3">
      <c r="A32" s="142">
        <v>872.3</v>
      </c>
      <c r="B32" s="132"/>
      <c r="C32" s="132"/>
      <c r="D32" s="142">
        <v>1300</v>
      </c>
      <c r="E32" s="132"/>
      <c r="F32" s="132"/>
      <c r="G32" s="142">
        <v>1083.33</v>
      </c>
      <c r="H32" s="132"/>
      <c r="I32" s="132"/>
      <c r="J32" s="142">
        <v>1083.33</v>
      </c>
      <c r="K32" s="132"/>
      <c r="L32" s="132"/>
      <c r="M32" s="142">
        <v>1083.33</v>
      </c>
      <c r="N32" s="132"/>
      <c r="O32" s="138"/>
      <c r="P32" s="138"/>
    </row>
    <row r="33" spans="1:16" x14ac:dyDescent="0.3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38"/>
      <c r="P33" s="138"/>
    </row>
    <row r="34" spans="1:16" x14ac:dyDescent="0.3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8"/>
      <c r="P34" s="138"/>
    </row>
    <row r="35" spans="1:16" x14ac:dyDescent="0.3">
      <c r="A35" s="159" t="s">
        <v>442</v>
      </c>
      <c r="B35" s="159"/>
      <c r="C35" s="139"/>
      <c r="D35" s="159" t="s">
        <v>444</v>
      </c>
      <c r="E35" s="159"/>
      <c r="F35" s="139"/>
      <c r="G35" s="159" t="s">
        <v>445</v>
      </c>
      <c r="H35" s="159"/>
      <c r="I35" s="139"/>
      <c r="J35" s="159" t="s">
        <v>107</v>
      </c>
      <c r="K35" s="159"/>
      <c r="L35" s="139"/>
      <c r="M35" s="159" t="s">
        <v>446</v>
      </c>
      <c r="N35" s="159"/>
      <c r="O35" s="138"/>
      <c r="P35" s="138"/>
    </row>
    <row r="36" spans="1:16" x14ac:dyDescent="0.3">
      <c r="A36" s="145">
        <v>5640</v>
      </c>
      <c r="B36" s="145" t="s">
        <v>452</v>
      </c>
      <c r="C36" s="132"/>
      <c r="D36" s="144"/>
      <c r="E36" s="145">
        <v>872.3</v>
      </c>
      <c r="F36" s="132"/>
      <c r="G36" s="144"/>
      <c r="H36" s="145">
        <v>1300</v>
      </c>
      <c r="I36" s="132"/>
      <c r="J36" s="144"/>
      <c r="K36" s="145">
        <v>1083.33</v>
      </c>
      <c r="L36" s="132"/>
      <c r="M36" s="144"/>
      <c r="N36" s="145">
        <v>1083.33</v>
      </c>
      <c r="O36" s="138"/>
      <c r="P36" s="138"/>
    </row>
    <row r="37" spans="1:16" x14ac:dyDescent="0.3">
      <c r="A37" s="145">
        <v>5640</v>
      </c>
      <c r="B37" s="132" t="s">
        <v>452</v>
      </c>
      <c r="C37" s="132"/>
      <c r="D37" s="142"/>
      <c r="E37" s="132">
        <v>872.3</v>
      </c>
      <c r="F37" s="132"/>
      <c r="G37" s="142"/>
      <c r="H37" s="132">
        <v>1300</v>
      </c>
      <c r="I37" s="132"/>
      <c r="J37" s="142"/>
      <c r="K37" s="132">
        <v>1083.33</v>
      </c>
      <c r="L37" s="132"/>
      <c r="M37" s="142"/>
      <c r="N37" s="132">
        <v>1083.33</v>
      </c>
      <c r="O37" s="138"/>
      <c r="P37" s="138"/>
    </row>
    <row r="38" spans="1:16" x14ac:dyDescent="0.3">
      <c r="A38" s="142"/>
      <c r="B38" s="132"/>
      <c r="C38" s="132"/>
      <c r="D38" s="142"/>
      <c r="E38" s="132"/>
      <c r="F38" s="132"/>
      <c r="G38" s="142"/>
      <c r="H38" s="132"/>
      <c r="I38" s="132"/>
      <c r="J38" s="142"/>
      <c r="K38" s="132"/>
      <c r="L38" s="132"/>
      <c r="M38" s="142"/>
      <c r="N38" s="132"/>
      <c r="O38" s="138"/>
      <c r="P38" s="138"/>
    </row>
    <row r="39" spans="1:16" x14ac:dyDescent="0.3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8"/>
      <c r="P39" s="138"/>
    </row>
    <row r="40" spans="1:16" x14ac:dyDescent="0.3">
      <c r="A40" s="159" t="s">
        <v>447</v>
      </c>
      <c r="B40" s="159"/>
      <c r="C40" s="139"/>
      <c r="D40" s="159" t="s">
        <v>448</v>
      </c>
      <c r="E40" s="159"/>
      <c r="F40" s="139"/>
      <c r="G40" s="159" t="s">
        <v>450</v>
      </c>
      <c r="H40" s="159"/>
      <c r="I40" s="139"/>
      <c r="J40" s="159" t="s">
        <v>357</v>
      </c>
      <c r="K40" s="159"/>
      <c r="L40" s="139"/>
      <c r="M40" s="160"/>
      <c r="N40" s="160"/>
      <c r="O40" s="138"/>
      <c r="P40" s="138"/>
    </row>
    <row r="41" spans="1:16" x14ac:dyDescent="0.3">
      <c r="A41" s="144"/>
      <c r="B41" s="145">
        <v>1083.33</v>
      </c>
      <c r="C41" s="132"/>
      <c r="D41" s="144">
        <v>500</v>
      </c>
      <c r="E41" s="145"/>
      <c r="F41" s="132"/>
      <c r="G41" s="144"/>
      <c r="H41" s="145">
        <v>2001</v>
      </c>
      <c r="I41" s="132"/>
      <c r="J41" s="144"/>
      <c r="K41" s="145">
        <v>139.19999999999999</v>
      </c>
      <c r="L41" s="132"/>
      <c r="M41" s="143"/>
      <c r="N41" s="143"/>
      <c r="O41" s="138"/>
      <c r="P41" s="138"/>
    </row>
    <row r="42" spans="1:16" x14ac:dyDescent="0.3">
      <c r="A42" s="142"/>
      <c r="B42" s="132">
        <v>1083.33</v>
      </c>
      <c r="C42" s="132"/>
      <c r="D42" s="142">
        <v>500</v>
      </c>
      <c r="E42" s="132"/>
      <c r="F42" s="132"/>
      <c r="G42" s="142"/>
      <c r="H42" s="132">
        <v>2001</v>
      </c>
      <c r="I42" s="132"/>
      <c r="J42" s="142"/>
      <c r="K42" s="132">
        <v>139.19999999999999</v>
      </c>
      <c r="L42" s="132"/>
      <c r="M42" s="143"/>
      <c r="N42" s="143"/>
      <c r="O42" s="138"/>
      <c r="P42" s="138"/>
    </row>
    <row r="43" spans="1:16" x14ac:dyDescent="0.3">
      <c r="A43" s="142"/>
      <c r="B43" s="132"/>
      <c r="C43" s="132"/>
      <c r="D43" s="142"/>
      <c r="E43" s="132"/>
      <c r="F43" s="132"/>
      <c r="G43" s="143"/>
      <c r="H43" s="143"/>
      <c r="I43" s="132"/>
      <c r="J43" s="142"/>
      <c r="K43" s="132"/>
      <c r="L43" s="132"/>
      <c r="M43" s="143"/>
      <c r="N43" s="143"/>
      <c r="O43" s="138"/>
      <c r="P43" s="138"/>
    </row>
    <row r="44" spans="1:16" x14ac:dyDescent="0.3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8"/>
      <c r="P44" s="138"/>
    </row>
    <row r="45" spans="1:16" x14ac:dyDescent="0.3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8"/>
      <c r="P45" s="138"/>
    </row>
    <row r="46" spans="1:16" x14ac:dyDescent="0.3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8"/>
      <c r="P46" s="138"/>
    </row>
    <row r="47" spans="1:16" x14ac:dyDescent="0.3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8"/>
      <c r="P47" s="138"/>
    </row>
    <row r="48" spans="1:16" x14ac:dyDescent="0.3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8"/>
      <c r="P48" s="138"/>
    </row>
    <row r="49" spans="1:16" x14ac:dyDescent="0.3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8"/>
      <c r="P49" s="138"/>
    </row>
    <row r="50" spans="1:16" x14ac:dyDescent="0.3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8"/>
      <c r="P50" s="138"/>
    </row>
    <row r="51" spans="1:16" x14ac:dyDescent="0.3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8"/>
      <c r="P51" s="138"/>
    </row>
    <row r="52" spans="1:16" x14ac:dyDescent="0.3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8"/>
      <c r="P52" s="138"/>
    </row>
    <row r="53" spans="1:16" x14ac:dyDescent="0.3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8"/>
      <c r="P53" s="138"/>
    </row>
    <row r="54" spans="1:16" x14ac:dyDescent="0.3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8"/>
      <c r="P54" s="138"/>
    </row>
    <row r="55" spans="1:16" x14ac:dyDescent="0.3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8"/>
      <c r="P55" s="138"/>
    </row>
    <row r="56" spans="1:16" x14ac:dyDescent="0.3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8"/>
      <c r="P56" s="138"/>
    </row>
    <row r="57" spans="1:16" x14ac:dyDescent="0.3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8"/>
      <c r="P57" s="138"/>
    </row>
    <row r="58" spans="1:16" x14ac:dyDescent="0.3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8"/>
      <c r="P58" s="138"/>
    </row>
    <row r="59" spans="1:16" x14ac:dyDescent="0.3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8"/>
      <c r="P59" s="138"/>
    </row>
    <row r="60" spans="1:16" x14ac:dyDescent="0.3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8"/>
      <c r="P60" s="138"/>
    </row>
    <row r="61" spans="1:16" x14ac:dyDescent="0.3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8"/>
      <c r="P61" s="138"/>
    </row>
    <row r="62" spans="1:16" x14ac:dyDescent="0.3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8"/>
      <c r="P62" s="138"/>
    </row>
    <row r="63" spans="1:16" x14ac:dyDescent="0.3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8"/>
      <c r="P63" s="138"/>
    </row>
    <row r="64" spans="1:16" x14ac:dyDescent="0.3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8"/>
      <c r="P64" s="138"/>
    </row>
    <row r="65" spans="1:16" x14ac:dyDescent="0.3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8"/>
      <c r="P65" s="138"/>
    </row>
    <row r="66" spans="1:16" x14ac:dyDescent="0.3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8"/>
      <c r="P66" s="138"/>
    </row>
    <row r="67" spans="1:16" x14ac:dyDescent="0.3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8"/>
      <c r="P67" s="138"/>
    </row>
    <row r="68" spans="1:16" x14ac:dyDescent="0.3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8"/>
      <c r="P68" s="138"/>
    </row>
    <row r="69" spans="1:16" x14ac:dyDescent="0.3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8"/>
      <c r="P69" s="138"/>
    </row>
    <row r="70" spans="1:16" x14ac:dyDescent="0.3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8"/>
      <c r="P70" s="138"/>
    </row>
    <row r="71" spans="1:16" x14ac:dyDescent="0.3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8"/>
      <c r="P71" s="138"/>
    </row>
    <row r="72" spans="1:16" x14ac:dyDescent="0.3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8"/>
      <c r="P72" s="138"/>
    </row>
    <row r="73" spans="1:16" x14ac:dyDescent="0.3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8"/>
      <c r="P73" s="138"/>
    </row>
    <row r="74" spans="1:16" x14ac:dyDescent="0.3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8"/>
      <c r="P74" s="138"/>
    </row>
    <row r="75" spans="1:16" x14ac:dyDescent="0.3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8"/>
      <c r="P75" s="138"/>
    </row>
    <row r="76" spans="1:16" x14ac:dyDescent="0.3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8"/>
      <c r="P76" s="138"/>
    </row>
    <row r="77" spans="1:16" x14ac:dyDescent="0.3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8"/>
      <c r="P77" s="138"/>
    </row>
    <row r="78" spans="1:16" x14ac:dyDescent="0.3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8"/>
      <c r="P78" s="138"/>
    </row>
    <row r="79" spans="1:16" x14ac:dyDescent="0.3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8"/>
      <c r="P79" s="138"/>
    </row>
    <row r="80" spans="1:16" x14ac:dyDescent="0.3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8"/>
      <c r="P80" s="138"/>
    </row>
    <row r="81" spans="1:16" x14ac:dyDescent="0.3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8"/>
      <c r="P81" s="138"/>
    </row>
    <row r="82" spans="1:16" x14ac:dyDescent="0.3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8"/>
      <c r="P82" s="138"/>
    </row>
    <row r="83" spans="1:16" x14ac:dyDescent="0.3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8"/>
      <c r="P83" s="138"/>
    </row>
    <row r="84" spans="1:16" x14ac:dyDescent="0.3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8"/>
      <c r="P84" s="138"/>
    </row>
    <row r="85" spans="1:16" x14ac:dyDescent="0.3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8"/>
      <c r="P85" s="138"/>
    </row>
    <row r="86" spans="1:16" x14ac:dyDescent="0.3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8"/>
      <c r="P86" s="138"/>
    </row>
    <row r="87" spans="1:16" x14ac:dyDescent="0.3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8"/>
      <c r="P87" s="138"/>
    </row>
    <row r="88" spans="1:16" x14ac:dyDescent="0.3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8"/>
      <c r="P88" s="138"/>
    </row>
    <row r="89" spans="1:16" x14ac:dyDescent="0.3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8"/>
      <c r="P89" s="138"/>
    </row>
    <row r="90" spans="1:16" x14ac:dyDescent="0.3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8"/>
      <c r="P90" s="138"/>
    </row>
    <row r="91" spans="1:16" x14ac:dyDescent="0.3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8"/>
      <c r="P91" s="138"/>
    </row>
    <row r="92" spans="1:16" x14ac:dyDescent="0.3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8"/>
      <c r="P92" s="138"/>
    </row>
    <row r="93" spans="1:16" x14ac:dyDescent="0.3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8"/>
      <c r="P93" s="138"/>
    </row>
    <row r="94" spans="1:16" x14ac:dyDescent="0.3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8"/>
      <c r="P94" s="138"/>
    </row>
    <row r="95" spans="1:16" x14ac:dyDescent="0.3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8"/>
      <c r="P95" s="138"/>
    </row>
    <row r="96" spans="1:16" x14ac:dyDescent="0.3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8"/>
      <c r="P96" s="138"/>
    </row>
    <row r="97" spans="1:16" x14ac:dyDescent="0.3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8"/>
      <c r="P97" s="138"/>
    </row>
    <row r="98" spans="1:16" x14ac:dyDescent="0.3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8"/>
      <c r="P98" s="138"/>
    </row>
    <row r="99" spans="1:16" x14ac:dyDescent="0.3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8"/>
      <c r="P99" s="138"/>
    </row>
    <row r="100" spans="1:16" x14ac:dyDescent="0.3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8"/>
      <c r="P100" s="138"/>
    </row>
    <row r="101" spans="1:16" x14ac:dyDescent="0.3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8"/>
      <c r="P101" s="138"/>
    </row>
    <row r="102" spans="1:16" x14ac:dyDescent="0.3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8"/>
      <c r="P102" s="138"/>
    </row>
    <row r="103" spans="1:16" x14ac:dyDescent="0.3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8"/>
      <c r="P103" s="138"/>
    </row>
    <row r="104" spans="1:16" x14ac:dyDescent="0.3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8"/>
      <c r="P104" s="138"/>
    </row>
    <row r="105" spans="1:16" x14ac:dyDescent="0.3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8"/>
      <c r="P105" s="138"/>
    </row>
    <row r="106" spans="1:16" x14ac:dyDescent="0.3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8"/>
      <c r="P106" s="138"/>
    </row>
    <row r="107" spans="1:16" x14ac:dyDescent="0.3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8"/>
      <c r="P107" s="138"/>
    </row>
    <row r="108" spans="1:16" x14ac:dyDescent="0.3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8"/>
      <c r="P108" s="138"/>
    </row>
    <row r="109" spans="1:16" x14ac:dyDescent="0.3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8"/>
      <c r="P109" s="138"/>
    </row>
    <row r="110" spans="1:16" x14ac:dyDescent="0.3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8"/>
      <c r="P110" s="138"/>
    </row>
    <row r="111" spans="1:16" x14ac:dyDescent="0.3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8"/>
      <c r="P111" s="138"/>
    </row>
    <row r="112" spans="1:16" x14ac:dyDescent="0.3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8"/>
      <c r="P112" s="138"/>
    </row>
    <row r="113" spans="1:16" x14ac:dyDescent="0.3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8"/>
      <c r="P113" s="138"/>
    </row>
    <row r="114" spans="1:16" x14ac:dyDescent="0.3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8"/>
      <c r="P114" s="138"/>
    </row>
    <row r="115" spans="1:16" x14ac:dyDescent="0.3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8"/>
      <c r="P115" s="138"/>
    </row>
    <row r="116" spans="1:16" x14ac:dyDescent="0.3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8"/>
      <c r="P116" s="138"/>
    </row>
    <row r="117" spans="1:16" x14ac:dyDescent="0.3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8"/>
      <c r="P117" s="138"/>
    </row>
    <row r="118" spans="1:16" x14ac:dyDescent="0.3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8"/>
      <c r="P118" s="138"/>
    </row>
    <row r="119" spans="1:16" x14ac:dyDescent="0.3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8"/>
      <c r="P119" s="138"/>
    </row>
    <row r="120" spans="1:16" x14ac:dyDescent="0.3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8"/>
      <c r="P120" s="138"/>
    </row>
    <row r="121" spans="1:16" x14ac:dyDescent="0.3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8"/>
      <c r="P121" s="138"/>
    </row>
    <row r="122" spans="1:16" x14ac:dyDescent="0.3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8"/>
      <c r="P122" s="138"/>
    </row>
    <row r="123" spans="1:16" x14ac:dyDescent="0.3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8"/>
      <c r="P123" s="138"/>
    </row>
    <row r="124" spans="1:16" x14ac:dyDescent="0.3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8"/>
      <c r="P124" s="138"/>
    </row>
    <row r="125" spans="1:16" x14ac:dyDescent="0.3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8"/>
      <c r="P125" s="138"/>
    </row>
    <row r="126" spans="1:16" x14ac:dyDescent="0.3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8"/>
      <c r="P126" s="138"/>
    </row>
    <row r="127" spans="1:16" x14ac:dyDescent="0.3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8"/>
      <c r="P127" s="138"/>
    </row>
    <row r="128" spans="1:16" x14ac:dyDescent="0.3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8"/>
      <c r="P128" s="138"/>
    </row>
    <row r="129" spans="1:16" x14ac:dyDescent="0.3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8"/>
      <c r="P129" s="138"/>
    </row>
    <row r="130" spans="1:16" x14ac:dyDescent="0.3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8"/>
      <c r="P130" s="138"/>
    </row>
    <row r="131" spans="1:16" x14ac:dyDescent="0.3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8"/>
      <c r="P131" s="138"/>
    </row>
    <row r="132" spans="1:16" x14ac:dyDescent="0.3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8"/>
      <c r="P132" s="138"/>
    </row>
    <row r="133" spans="1:16" x14ac:dyDescent="0.3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8"/>
      <c r="P133" s="138"/>
    </row>
    <row r="134" spans="1:16" x14ac:dyDescent="0.3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8"/>
      <c r="P134" s="138"/>
    </row>
    <row r="135" spans="1:16" x14ac:dyDescent="0.3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8"/>
      <c r="P135" s="138"/>
    </row>
    <row r="136" spans="1:16" x14ac:dyDescent="0.3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8"/>
      <c r="P136" s="138"/>
    </row>
    <row r="137" spans="1:16" x14ac:dyDescent="0.3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8"/>
      <c r="P137" s="138"/>
    </row>
    <row r="138" spans="1:16" x14ac:dyDescent="0.3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8"/>
      <c r="P138" s="138"/>
    </row>
    <row r="139" spans="1:16" x14ac:dyDescent="0.3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8"/>
      <c r="P139" s="138"/>
    </row>
    <row r="140" spans="1:16" x14ac:dyDescent="0.3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8"/>
      <c r="P140" s="138"/>
    </row>
    <row r="141" spans="1:16" x14ac:dyDescent="0.3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8"/>
      <c r="P141" s="138"/>
    </row>
    <row r="142" spans="1:16" x14ac:dyDescent="0.3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8"/>
      <c r="P142" s="138"/>
    </row>
    <row r="143" spans="1:16" x14ac:dyDescent="0.3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8"/>
      <c r="P143" s="138"/>
    </row>
    <row r="144" spans="1:16" x14ac:dyDescent="0.3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8"/>
      <c r="P144" s="138"/>
    </row>
    <row r="145" spans="1:16" x14ac:dyDescent="0.3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8"/>
      <c r="P145" s="138"/>
    </row>
    <row r="146" spans="1:16" x14ac:dyDescent="0.3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8"/>
      <c r="P146" s="138"/>
    </row>
    <row r="147" spans="1:16" x14ac:dyDescent="0.3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8"/>
      <c r="P147" s="138"/>
    </row>
    <row r="148" spans="1:16" x14ac:dyDescent="0.3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8"/>
      <c r="P148" s="138"/>
    </row>
    <row r="149" spans="1:16" x14ac:dyDescent="0.3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8"/>
      <c r="P149" s="138"/>
    </row>
    <row r="150" spans="1:16" x14ac:dyDescent="0.3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8"/>
      <c r="P150" s="138"/>
    </row>
    <row r="151" spans="1:16" x14ac:dyDescent="0.3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8"/>
      <c r="P151" s="138"/>
    </row>
    <row r="152" spans="1:16" x14ac:dyDescent="0.3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8"/>
      <c r="P152" s="138"/>
    </row>
    <row r="153" spans="1:16" x14ac:dyDescent="0.3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8"/>
      <c r="P153" s="138"/>
    </row>
    <row r="154" spans="1:16" x14ac:dyDescent="0.3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8"/>
      <c r="P154" s="138"/>
    </row>
    <row r="155" spans="1:16" x14ac:dyDescent="0.3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8"/>
      <c r="P155" s="138"/>
    </row>
    <row r="156" spans="1:16" x14ac:dyDescent="0.3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8"/>
      <c r="P156" s="138"/>
    </row>
    <row r="157" spans="1:16" x14ac:dyDescent="0.3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8"/>
      <c r="P157" s="138"/>
    </row>
    <row r="158" spans="1:16" x14ac:dyDescent="0.3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8"/>
      <c r="P158" s="138"/>
    </row>
    <row r="159" spans="1:16" x14ac:dyDescent="0.3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8"/>
      <c r="P159" s="138"/>
    </row>
    <row r="160" spans="1:16" x14ac:dyDescent="0.3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8"/>
      <c r="P160" s="138"/>
    </row>
    <row r="161" spans="1:16" x14ac:dyDescent="0.3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8"/>
      <c r="P161" s="138"/>
    </row>
    <row r="162" spans="1:16" x14ac:dyDescent="0.3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8"/>
      <c r="P162" s="138"/>
    </row>
    <row r="163" spans="1:16" x14ac:dyDescent="0.3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8"/>
      <c r="P163" s="138"/>
    </row>
    <row r="164" spans="1:16" x14ac:dyDescent="0.3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8"/>
      <c r="P164" s="138"/>
    </row>
    <row r="165" spans="1:16" x14ac:dyDescent="0.3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8"/>
      <c r="P165" s="138"/>
    </row>
    <row r="166" spans="1:16" x14ac:dyDescent="0.3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8"/>
      <c r="P166" s="138"/>
    </row>
    <row r="167" spans="1:16" x14ac:dyDescent="0.3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8"/>
      <c r="P167" s="138"/>
    </row>
  </sheetData>
  <mergeCells count="28">
    <mergeCell ref="M14:N14"/>
    <mergeCell ref="G14:H14"/>
    <mergeCell ref="D14:E14"/>
    <mergeCell ref="A14:B14"/>
    <mergeCell ref="M3:N3"/>
    <mergeCell ref="A23:B23"/>
    <mergeCell ref="D23:E23"/>
    <mergeCell ref="G23:H23"/>
    <mergeCell ref="J23:K23"/>
    <mergeCell ref="D3:E3"/>
    <mergeCell ref="A3:B3"/>
    <mergeCell ref="G3:H3"/>
    <mergeCell ref="J3:K3"/>
    <mergeCell ref="A30:B30"/>
    <mergeCell ref="D30:E30"/>
    <mergeCell ref="G30:H30"/>
    <mergeCell ref="J30:K30"/>
    <mergeCell ref="M30:N30"/>
    <mergeCell ref="A35:B35"/>
    <mergeCell ref="D35:E35"/>
    <mergeCell ref="G35:H35"/>
    <mergeCell ref="J35:K35"/>
    <mergeCell ref="M35:N35"/>
    <mergeCell ref="A40:B40"/>
    <mergeCell ref="D40:E40"/>
    <mergeCell ref="G40:H40"/>
    <mergeCell ref="J40:K40"/>
    <mergeCell ref="M40:N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759E-F606-4611-BDE0-265149DD868D}">
  <dimension ref="A1:G37"/>
  <sheetViews>
    <sheetView showGridLines="0" topLeftCell="A4" zoomScale="145" zoomScaleNormal="145" workbookViewId="0">
      <pane ySplit="2" topLeftCell="A6" activePane="bottomLeft" state="frozen"/>
      <selection activeCell="A4" sqref="A4"/>
      <selection pane="bottomLeft" activeCell="D10" sqref="D10"/>
    </sheetView>
  </sheetViews>
  <sheetFormatPr baseColWidth="10" defaultRowHeight="14.4" x14ac:dyDescent="0.3"/>
  <cols>
    <col min="1" max="1" width="5.109375" bestFit="1" customWidth="1"/>
    <col min="2" max="2" width="41.44140625" bestFit="1" customWidth="1"/>
    <col min="3" max="3" width="5.88671875" style="1" hidden="1" customWidth="1"/>
    <col min="4" max="7" width="11.44140625" style="15"/>
  </cols>
  <sheetData>
    <row r="1" spans="1:7" x14ac:dyDescent="0.3">
      <c r="A1" t="s">
        <v>373</v>
      </c>
    </row>
    <row r="2" spans="1:7" x14ac:dyDescent="0.3">
      <c r="A2" s="158" t="s">
        <v>361</v>
      </c>
      <c r="B2" s="158"/>
      <c r="C2" s="158"/>
      <c r="D2" s="158"/>
      <c r="E2" s="158"/>
      <c r="F2" s="158"/>
      <c r="G2" s="158"/>
    </row>
    <row r="3" spans="1:7" x14ac:dyDescent="0.3">
      <c r="A3" s="158" t="s">
        <v>371</v>
      </c>
      <c r="B3" s="158"/>
      <c r="C3" s="158"/>
      <c r="D3" s="158"/>
      <c r="E3" s="158"/>
      <c r="F3" s="158"/>
      <c r="G3" s="158"/>
    </row>
    <row r="4" spans="1:7" x14ac:dyDescent="0.3">
      <c r="A4" s="158" t="s">
        <v>372</v>
      </c>
      <c r="B4" s="158"/>
      <c r="C4" s="158"/>
      <c r="D4" s="158"/>
      <c r="E4" s="158"/>
      <c r="F4" s="158"/>
      <c r="G4" s="158"/>
    </row>
    <row r="5" spans="1:7" ht="6.75" customHeight="1" x14ac:dyDescent="0.3"/>
    <row r="6" spans="1:7" s="27" customFormat="1" x14ac:dyDescent="0.3">
      <c r="A6" s="163" t="s">
        <v>362</v>
      </c>
      <c r="B6" s="163" t="s">
        <v>363</v>
      </c>
      <c r="C6" s="163" t="s">
        <v>364</v>
      </c>
      <c r="D6" s="162" t="s">
        <v>365</v>
      </c>
      <c r="E6" s="162"/>
      <c r="F6" s="162" t="s">
        <v>366</v>
      </c>
      <c r="G6" s="162"/>
    </row>
    <row r="7" spans="1:7" s="27" customFormat="1" x14ac:dyDescent="0.3">
      <c r="A7" s="164"/>
      <c r="B7" s="164"/>
      <c r="C7" s="164"/>
      <c r="D7" s="111" t="s">
        <v>239</v>
      </c>
      <c r="E7" s="111" t="s">
        <v>240</v>
      </c>
      <c r="F7" s="111" t="s">
        <v>367</v>
      </c>
      <c r="G7" s="111" t="s">
        <v>368</v>
      </c>
    </row>
    <row r="8" spans="1:7" x14ac:dyDescent="0.3">
      <c r="A8" s="13">
        <v>1</v>
      </c>
      <c r="B8" s="21" t="s">
        <v>360</v>
      </c>
      <c r="C8" s="113" t="s">
        <v>374</v>
      </c>
      <c r="D8" s="21" t="s">
        <v>452</v>
      </c>
      <c r="E8" s="21" t="s">
        <v>452</v>
      </c>
      <c r="F8" s="21" t="s">
        <v>452</v>
      </c>
      <c r="G8" s="21"/>
    </row>
    <row r="9" spans="1:7" x14ac:dyDescent="0.3">
      <c r="A9" s="13">
        <v>2</v>
      </c>
      <c r="B9" s="21" t="s">
        <v>265</v>
      </c>
      <c r="C9" s="113" t="s">
        <v>374</v>
      </c>
      <c r="D9" s="21" t="s">
        <v>452</v>
      </c>
      <c r="E9" s="21" t="s">
        <v>452</v>
      </c>
      <c r="F9" s="21" t="s">
        <v>452</v>
      </c>
      <c r="G9" s="21"/>
    </row>
    <row r="10" spans="1:7" x14ac:dyDescent="0.3">
      <c r="A10" s="13">
        <v>3</v>
      </c>
      <c r="B10" s="21" t="s">
        <v>71</v>
      </c>
      <c r="C10" s="113" t="s">
        <v>374</v>
      </c>
      <c r="D10" s="21" t="s">
        <v>452</v>
      </c>
      <c r="E10" s="21" t="s">
        <v>452</v>
      </c>
      <c r="F10" s="21" t="s">
        <v>452</v>
      </c>
      <c r="G10" s="21"/>
    </row>
    <row r="11" spans="1:7" x14ac:dyDescent="0.3">
      <c r="A11" s="13">
        <v>4</v>
      </c>
      <c r="B11" s="21" t="s">
        <v>6</v>
      </c>
      <c r="C11" s="113" t="s">
        <v>374</v>
      </c>
      <c r="D11" s="21" t="s">
        <v>452</v>
      </c>
      <c r="E11" s="21" t="s">
        <v>452</v>
      </c>
      <c r="F11" s="21" t="s">
        <v>452</v>
      </c>
      <c r="G11" s="21" t="s">
        <v>452</v>
      </c>
    </row>
    <row r="12" spans="1:7" x14ac:dyDescent="0.3">
      <c r="A12" s="13">
        <v>5</v>
      </c>
      <c r="B12" s="21" t="s">
        <v>15</v>
      </c>
      <c r="C12" s="113" t="s">
        <v>376</v>
      </c>
      <c r="D12" s="21" t="s">
        <v>452</v>
      </c>
      <c r="E12" s="21" t="s">
        <v>452</v>
      </c>
      <c r="F12" s="21" t="s">
        <v>452</v>
      </c>
      <c r="G12" s="21" t="s">
        <v>452</v>
      </c>
    </row>
    <row r="13" spans="1:7" x14ac:dyDescent="0.3">
      <c r="A13" s="13">
        <v>6</v>
      </c>
      <c r="B13" s="21" t="s">
        <v>268</v>
      </c>
      <c r="C13" s="113" t="s">
        <v>375</v>
      </c>
      <c r="D13" s="21" t="s">
        <v>452</v>
      </c>
      <c r="E13" s="21" t="s">
        <v>452</v>
      </c>
      <c r="F13" s="21" t="s">
        <v>452</v>
      </c>
      <c r="G13" s="21" t="s">
        <v>452</v>
      </c>
    </row>
    <row r="14" spans="1:7" x14ac:dyDescent="0.3">
      <c r="A14" s="13">
        <v>7</v>
      </c>
      <c r="B14" s="21" t="s">
        <v>269</v>
      </c>
      <c r="C14" s="113" t="s">
        <v>374</v>
      </c>
      <c r="D14" s="21" t="s">
        <v>452</v>
      </c>
      <c r="E14" s="21" t="s">
        <v>452</v>
      </c>
      <c r="F14" s="21" t="s">
        <v>452</v>
      </c>
      <c r="G14" s="21" t="s">
        <v>452</v>
      </c>
    </row>
    <row r="15" spans="1:7" x14ac:dyDescent="0.3">
      <c r="A15" s="13">
        <v>8</v>
      </c>
      <c r="B15" s="21" t="s">
        <v>271</v>
      </c>
      <c r="C15" s="113" t="s">
        <v>374</v>
      </c>
      <c r="D15" s="21" t="s">
        <v>452</v>
      </c>
      <c r="E15" s="21" t="s">
        <v>452</v>
      </c>
      <c r="F15" s="21" t="s">
        <v>452</v>
      </c>
      <c r="G15" s="21" t="s">
        <v>452</v>
      </c>
    </row>
    <row r="16" spans="1:7" x14ac:dyDescent="0.3">
      <c r="A16" s="13">
        <v>9</v>
      </c>
      <c r="B16" s="21" t="s">
        <v>273</v>
      </c>
      <c r="C16" s="113" t="s">
        <v>375</v>
      </c>
      <c r="D16" s="21" t="s">
        <v>452</v>
      </c>
      <c r="E16" s="21" t="s">
        <v>452</v>
      </c>
      <c r="F16" s="21" t="s">
        <v>452</v>
      </c>
      <c r="G16" s="21" t="s">
        <v>454</v>
      </c>
    </row>
    <row r="17" spans="1:7" x14ac:dyDescent="0.3">
      <c r="A17" s="13">
        <v>10</v>
      </c>
      <c r="B17" s="21" t="s">
        <v>243</v>
      </c>
      <c r="C17" s="113" t="s">
        <v>378</v>
      </c>
      <c r="D17" s="21" t="s">
        <v>452</v>
      </c>
      <c r="E17" s="21" t="s">
        <v>452</v>
      </c>
      <c r="F17" s="21" t="s">
        <v>453</v>
      </c>
      <c r="G17" s="21" t="s">
        <v>452</v>
      </c>
    </row>
    <row r="18" spans="1:7" x14ac:dyDescent="0.3">
      <c r="A18" s="13">
        <v>11</v>
      </c>
      <c r="B18" s="21" t="s">
        <v>244</v>
      </c>
      <c r="C18" s="113" t="s">
        <v>377</v>
      </c>
      <c r="D18" s="21" t="s">
        <v>452</v>
      </c>
      <c r="E18" s="21" t="s">
        <v>452</v>
      </c>
      <c r="F18" s="21" t="s">
        <v>452</v>
      </c>
      <c r="G18" s="21" t="s">
        <v>452</v>
      </c>
    </row>
    <row r="19" spans="1:7" x14ac:dyDescent="0.3">
      <c r="A19" s="13">
        <v>12</v>
      </c>
      <c r="B19" s="21" t="s">
        <v>369</v>
      </c>
      <c r="C19" s="113" t="s">
        <v>377</v>
      </c>
      <c r="D19" s="21" t="s">
        <v>452</v>
      </c>
      <c r="E19" s="21" t="s">
        <v>452</v>
      </c>
      <c r="F19" s="21" t="s">
        <v>452</v>
      </c>
      <c r="G19" s="21" t="s">
        <v>452</v>
      </c>
    </row>
    <row r="20" spans="1:7" x14ac:dyDescent="0.3">
      <c r="A20" s="13">
        <v>13</v>
      </c>
      <c r="B20" s="21" t="s">
        <v>127</v>
      </c>
      <c r="C20" s="113" t="s">
        <v>375</v>
      </c>
      <c r="D20" s="21" t="s">
        <v>452</v>
      </c>
      <c r="E20" s="21" t="s">
        <v>452</v>
      </c>
      <c r="F20" s="21" t="s">
        <v>452</v>
      </c>
      <c r="G20" s="21" t="s">
        <v>452</v>
      </c>
    </row>
    <row r="21" spans="1:7" x14ac:dyDescent="0.3">
      <c r="A21" s="13">
        <v>14</v>
      </c>
      <c r="B21" s="21" t="s">
        <v>275</v>
      </c>
      <c r="C21" s="113" t="s">
        <v>377</v>
      </c>
      <c r="D21" s="21" t="s">
        <v>452</v>
      </c>
      <c r="E21" s="21" t="s">
        <v>452</v>
      </c>
      <c r="F21" s="21" t="s">
        <v>452</v>
      </c>
      <c r="G21" s="21" t="s">
        <v>452</v>
      </c>
    </row>
    <row r="22" spans="1:7" x14ac:dyDescent="0.3">
      <c r="A22" s="13">
        <v>15</v>
      </c>
      <c r="B22" s="21" t="s">
        <v>144</v>
      </c>
      <c r="C22" s="113" t="s">
        <v>375</v>
      </c>
      <c r="D22" s="21" t="s">
        <v>452</v>
      </c>
      <c r="E22" s="21" t="s">
        <v>452</v>
      </c>
      <c r="F22" s="21" t="s">
        <v>454</v>
      </c>
      <c r="G22" s="21" t="s">
        <v>452</v>
      </c>
    </row>
    <row r="23" spans="1:7" x14ac:dyDescent="0.3">
      <c r="A23" s="13">
        <v>16</v>
      </c>
      <c r="B23" s="21" t="s">
        <v>256</v>
      </c>
      <c r="C23" s="113" t="s">
        <v>377</v>
      </c>
      <c r="D23" s="21" t="s">
        <v>452</v>
      </c>
      <c r="E23" s="21" t="s">
        <v>452</v>
      </c>
      <c r="F23" s="21" t="s">
        <v>452</v>
      </c>
      <c r="G23" s="21" t="s">
        <v>452</v>
      </c>
    </row>
    <row r="24" spans="1:7" x14ac:dyDescent="0.3">
      <c r="A24" s="13">
        <v>17</v>
      </c>
      <c r="B24" s="21" t="s">
        <v>259</v>
      </c>
      <c r="C24" s="113" t="s">
        <v>375</v>
      </c>
      <c r="D24" s="21" t="s">
        <v>452</v>
      </c>
      <c r="E24" s="21" t="s">
        <v>452</v>
      </c>
      <c r="F24" s="21" t="s">
        <v>452</v>
      </c>
      <c r="G24" s="21" t="s">
        <v>452</v>
      </c>
    </row>
    <row r="25" spans="1:7" x14ac:dyDescent="0.3">
      <c r="A25" s="13">
        <v>18</v>
      </c>
      <c r="B25" s="21" t="s">
        <v>260</v>
      </c>
      <c r="C25" s="113" t="s">
        <v>375</v>
      </c>
      <c r="D25" s="21" t="s">
        <v>452</v>
      </c>
      <c r="E25" s="21" t="s">
        <v>452</v>
      </c>
      <c r="F25" s="21" t="s">
        <v>452</v>
      </c>
      <c r="G25" s="21" t="s">
        <v>452</v>
      </c>
    </row>
    <row r="26" spans="1:7" x14ac:dyDescent="0.3">
      <c r="A26" s="13">
        <v>19</v>
      </c>
      <c r="B26" s="21" t="s">
        <v>41</v>
      </c>
      <c r="C26" s="113" t="s">
        <v>375</v>
      </c>
      <c r="D26" s="21" t="s">
        <v>452</v>
      </c>
      <c r="E26" s="21" t="s">
        <v>452</v>
      </c>
      <c r="F26" s="21" t="s">
        <v>454</v>
      </c>
      <c r="G26" s="21" t="s">
        <v>452</v>
      </c>
    </row>
    <row r="27" spans="1:7" x14ac:dyDescent="0.3">
      <c r="A27" s="13">
        <v>20</v>
      </c>
      <c r="B27" s="21" t="s">
        <v>148</v>
      </c>
      <c r="C27" s="113" t="s">
        <v>375</v>
      </c>
      <c r="D27" s="21" t="s">
        <v>452</v>
      </c>
      <c r="E27" s="21" t="s">
        <v>452</v>
      </c>
      <c r="F27" s="21" t="s">
        <v>452</v>
      </c>
      <c r="G27" s="21" t="s">
        <v>452</v>
      </c>
    </row>
    <row r="28" spans="1:7" x14ac:dyDescent="0.3">
      <c r="A28" s="13">
        <v>21</v>
      </c>
      <c r="B28" s="21" t="s">
        <v>261</v>
      </c>
      <c r="C28" s="113" t="s">
        <v>375</v>
      </c>
      <c r="D28" s="21" t="s">
        <v>452</v>
      </c>
      <c r="E28" s="21" t="s">
        <v>452</v>
      </c>
      <c r="F28" s="21" t="str">
        <f t="shared" ref="F28" si="0">+D28</f>
        <v xml:space="preserve"> </v>
      </c>
      <c r="G28" s="21" t="s">
        <v>452</v>
      </c>
    </row>
    <row r="29" spans="1:7" x14ac:dyDescent="0.3">
      <c r="A29" s="13">
        <v>22</v>
      </c>
      <c r="B29" s="21" t="s">
        <v>257</v>
      </c>
      <c r="C29" s="113" t="s">
        <v>377</v>
      </c>
      <c r="D29" s="21" t="s">
        <v>452</v>
      </c>
      <c r="E29" s="21" t="s">
        <v>452</v>
      </c>
      <c r="F29" s="21" t="s">
        <v>452</v>
      </c>
      <c r="G29" s="21" t="s">
        <v>452</v>
      </c>
    </row>
    <row r="30" spans="1:7" x14ac:dyDescent="0.3">
      <c r="A30" s="13">
        <v>23</v>
      </c>
      <c r="B30" s="21" t="s">
        <v>262</v>
      </c>
      <c r="C30" s="113" t="s">
        <v>377</v>
      </c>
      <c r="D30" s="21" t="s">
        <v>452</v>
      </c>
      <c r="E30" s="21" t="s">
        <v>452</v>
      </c>
      <c r="F30" s="21" t="s">
        <v>452</v>
      </c>
      <c r="G30" s="21" t="s">
        <v>452</v>
      </c>
    </row>
    <row r="31" spans="1:7" x14ac:dyDescent="0.3">
      <c r="A31" s="13">
        <v>24</v>
      </c>
      <c r="B31" s="21" t="s">
        <v>107</v>
      </c>
      <c r="C31" s="113" t="s">
        <v>377</v>
      </c>
      <c r="D31" s="21" t="s">
        <v>452</v>
      </c>
      <c r="E31" s="21" t="s">
        <v>452</v>
      </c>
      <c r="F31" s="21" t="s">
        <v>452</v>
      </c>
      <c r="G31" s="21" t="s">
        <v>452</v>
      </c>
    </row>
    <row r="32" spans="1:7" x14ac:dyDescent="0.3">
      <c r="A32" s="13">
        <v>25</v>
      </c>
      <c r="B32" s="21" t="s">
        <v>114</v>
      </c>
      <c r="C32" s="113" t="s">
        <v>377</v>
      </c>
      <c r="D32" s="21" t="s">
        <v>452</v>
      </c>
      <c r="E32" s="21" t="s">
        <v>452</v>
      </c>
      <c r="F32" s="21" t="s">
        <v>452</v>
      </c>
      <c r="G32" s="21" t="s">
        <v>452</v>
      </c>
    </row>
    <row r="33" spans="1:7" x14ac:dyDescent="0.3">
      <c r="A33" s="13">
        <v>26</v>
      </c>
      <c r="B33" s="21" t="s">
        <v>263</v>
      </c>
      <c r="C33" s="113" t="s">
        <v>377</v>
      </c>
      <c r="D33" s="21" t="s">
        <v>452</v>
      </c>
      <c r="E33" s="21" t="s">
        <v>452</v>
      </c>
      <c r="F33" s="21" t="s">
        <v>452</v>
      </c>
      <c r="G33" s="21" t="s">
        <v>452</v>
      </c>
    </row>
    <row r="34" spans="1:7" x14ac:dyDescent="0.3">
      <c r="A34" s="13">
        <v>27</v>
      </c>
      <c r="B34" s="21" t="s">
        <v>357</v>
      </c>
      <c r="C34" s="113" t="s">
        <v>378</v>
      </c>
      <c r="D34" s="21" t="s">
        <v>452</v>
      </c>
      <c r="E34" s="21" t="s">
        <v>452</v>
      </c>
      <c r="F34" s="21" t="s">
        <v>452</v>
      </c>
      <c r="G34" s="21" t="s">
        <v>452</v>
      </c>
    </row>
    <row r="35" spans="1:7" x14ac:dyDescent="0.3">
      <c r="A35" s="13">
        <v>28</v>
      </c>
      <c r="B35" s="21" t="s">
        <v>251</v>
      </c>
      <c r="C35" s="113" t="s">
        <v>374</v>
      </c>
      <c r="D35" s="21" t="s">
        <v>452</v>
      </c>
      <c r="E35" s="21" t="s">
        <v>452</v>
      </c>
      <c r="F35" s="21" t="s">
        <v>452</v>
      </c>
      <c r="G35" s="21" t="s">
        <v>452</v>
      </c>
    </row>
    <row r="36" spans="1:7" s="3" customFormat="1" x14ac:dyDescent="0.3">
      <c r="A36" s="106"/>
      <c r="B36" s="106" t="s">
        <v>370</v>
      </c>
      <c r="C36" s="105"/>
      <c r="D36" s="112" t="s">
        <v>452</v>
      </c>
      <c r="E36" s="112" t="s">
        <v>452</v>
      </c>
      <c r="F36" s="112" t="s">
        <v>452</v>
      </c>
      <c r="G36" s="112" t="s">
        <v>452</v>
      </c>
    </row>
    <row r="37" spans="1:7" x14ac:dyDescent="0.3">
      <c r="D37" s="15" t="s">
        <v>452</v>
      </c>
      <c r="F37" s="15" t="s">
        <v>452</v>
      </c>
    </row>
  </sheetData>
  <mergeCells count="8">
    <mergeCell ref="A2:G2"/>
    <mergeCell ref="A3:G3"/>
    <mergeCell ref="A4:G4"/>
    <mergeCell ref="D6:E6"/>
    <mergeCell ref="F6:G6"/>
    <mergeCell ref="A6:A7"/>
    <mergeCell ref="B6:B7"/>
    <mergeCell ref="C6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D5A9-7883-44DB-B2F5-250BE311B82D}">
  <sheetPr>
    <tabColor rgb="FFFFFF00"/>
  </sheetPr>
  <dimension ref="A1:K43"/>
  <sheetViews>
    <sheetView showGridLines="0" tabSelected="1" zoomScale="125" zoomScaleNormal="125" workbookViewId="0">
      <pane ySplit="7" topLeftCell="A22" activePane="bottomLeft" state="frozen"/>
      <selection pane="bottomLeft" activeCell="M27" sqref="M27"/>
    </sheetView>
  </sheetViews>
  <sheetFormatPr baseColWidth="10" defaultRowHeight="14.4" x14ac:dyDescent="0.3"/>
  <cols>
    <col min="1" max="1" width="3.88671875" customWidth="1"/>
    <col min="2" max="2" width="27.21875" customWidth="1"/>
    <col min="3" max="3" width="4.77734375" style="1" customWidth="1"/>
    <col min="4" max="7" width="11.5546875" style="15" customWidth="1"/>
    <col min="8" max="8" width="9.5546875" style="15" customWidth="1"/>
    <col min="9" max="11" width="12.88671875" style="15" customWidth="1"/>
  </cols>
  <sheetData>
    <row r="1" spans="1:11" x14ac:dyDescent="0.3">
      <c r="A1" t="s">
        <v>459</v>
      </c>
    </row>
    <row r="2" spans="1:11" x14ac:dyDescent="0.3">
      <c r="A2" s="158" t="s">
        <v>379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</row>
    <row r="3" spans="1:11" x14ac:dyDescent="0.3">
      <c r="A3" s="158" t="s">
        <v>458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</row>
    <row r="4" spans="1:11" x14ac:dyDescent="0.3">
      <c r="A4" s="158" t="s">
        <v>372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</row>
    <row r="5" spans="1:11" ht="6.75" customHeight="1" x14ac:dyDescent="0.3"/>
    <row r="6" spans="1:11" s="27" customFormat="1" x14ac:dyDescent="0.3">
      <c r="A6" s="232" t="s">
        <v>362</v>
      </c>
      <c r="B6" s="232" t="s">
        <v>363</v>
      </c>
      <c r="C6" s="232" t="s">
        <v>364</v>
      </c>
      <c r="D6" s="233" t="s">
        <v>365</v>
      </c>
      <c r="E6" s="233"/>
      <c r="F6" s="233" t="s">
        <v>366</v>
      </c>
      <c r="G6" s="233"/>
      <c r="H6" s="233" t="s">
        <v>380</v>
      </c>
      <c r="I6" s="233"/>
      <c r="J6" s="233" t="s">
        <v>381</v>
      </c>
      <c r="K6" s="233"/>
    </row>
    <row r="7" spans="1:11" s="27" customFormat="1" x14ac:dyDescent="0.3">
      <c r="A7" s="234"/>
      <c r="B7" s="234"/>
      <c r="C7" s="234"/>
      <c r="D7" s="235" t="s">
        <v>239</v>
      </c>
      <c r="E7" s="235" t="s">
        <v>240</v>
      </c>
      <c r="F7" s="235" t="s">
        <v>367</v>
      </c>
      <c r="G7" s="235" t="s">
        <v>368</v>
      </c>
      <c r="H7" s="235" t="s">
        <v>384</v>
      </c>
      <c r="I7" s="235" t="s">
        <v>19</v>
      </c>
      <c r="J7" s="235" t="s">
        <v>382</v>
      </c>
      <c r="K7" s="235" t="s">
        <v>383</v>
      </c>
    </row>
    <row r="8" spans="1:11" x14ac:dyDescent="0.3">
      <c r="A8" s="13">
        <v>1</v>
      </c>
      <c r="B8" s="21" t="str">
        <f>+[1]Mayores!A3</f>
        <v>CAJA M/N</v>
      </c>
      <c r="C8" s="116" t="s">
        <v>374</v>
      </c>
      <c r="D8" s="21">
        <f>+[1]Mayores!A10</f>
        <v>22960</v>
      </c>
      <c r="E8" s="21">
        <f>+[1]Mayores!B10</f>
        <v>34887.699999999997</v>
      </c>
      <c r="F8" s="114">
        <f>IF((D8&gt;E8),(D8-E8),0)</f>
        <v>0</v>
      </c>
      <c r="G8" s="114">
        <f>IF(E8&gt;D8,E8-D8,0)</f>
        <v>11927.699999999997</v>
      </c>
      <c r="H8" s="236"/>
      <c r="I8" s="236"/>
      <c r="J8" s="238">
        <f>+F8</f>
        <v>0</v>
      </c>
      <c r="K8" s="238">
        <v>11927.7</v>
      </c>
    </row>
    <row r="9" spans="1:11" x14ac:dyDescent="0.3">
      <c r="A9" s="13">
        <v>2</v>
      </c>
      <c r="B9" s="21" t="str">
        <f>+[1]Mayores!D3</f>
        <v>BANCO UNIÓN M/N</v>
      </c>
      <c r="C9" s="116" t="s">
        <v>374</v>
      </c>
      <c r="D9" s="21">
        <v>16500</v>
      </c>
      <c r="E9" s="21">
        <v>11000</v>
      </c>
      <c r="F9" s="114">
        <f t="shared" ref="F9:F36" si="0">IF((D9&gt;E9),(D9-E9),0)</f>
        <v>5500</v>
      </c>
      <c r="G9" s="114">
        <f t="shared" ref="G9:G36" si="1">IF(E9&gt;D9,E9-D9,0)</f>
        <v>0</v>
      </c>
      <c r="H9" s="236"/>
      <c r="I9" s="236"/>
      <c r="J9" s="238">
        <f>+F9</f>
        <v>5500</v>
      </c>
      <c r="K9" s="238">
        <v>0</v>
      </c>
    </row>
    <row r="10" spans="1:11" x14ac:dyDescent="0.3">
      <c r="A10" s="13">
        <v>3</v>
      </c>
      <c r="B10" s="21" t="str">
        <f>+[1]Mayores!G3</f>
        <v>INV. DE MERCADERIAS</v>
      </c>
      <c r="C10" s="116" t="s">
        <v>374</v>
      </c>
      <c r="D10" s="21">
        <f>+[1]Mayores!G7</f>
        <v>15535</v>
      </c>
      <c r="E10" s="21"/>
      <c r="F10" s="114">
        <f t="shared" si="0"/>
        <v>15535</v>
      </c>
      <c r="G10" s="114">
        <f t="shared" si="1"/>
        <v>0</v>
      </c>
      <c r="H10" s="236"/>
      <c r="I10" s="236"/>
      <c r="J10" s="238">
        <f t="shared" ref="J10:J11" si="2">+F10</f>
        <v>15535</v>
      </c>
      <c r="K10" s="238"/>
    </row>
    <row r="11" spans="1:11" x14ac:dyDescent="0.3">
      <c r="A11" s="13">
        <v>4</v>
      </c>
      <c r="B11" s="21" t="str">
        <f>+[1]Mayores!J3</f>
        <v>VEHICULOS</v>
      </c>
      <c r="C11" s="116" t="s">
        <v>374</v>
      </c>
      <c r="D11" s="21">
        <f>+[1]Mayores!J6</f>
        <v>22000</v>
      </c>
      <c r="E11" s="21"/>
      <c r="F11" s="114">
        <f t="shared" si="0"/>
        <v>22000</v>
      </c>
      <c r="G11" s="114">
        <f t="shared" si="1"/>
        <v>0</v>
      </c>
      <c r="H11" s="236"/>
      <c r="I11" s="236"/>
      <c r="J11" s="238">
        <f t="shared" si="2"/>
        <v>22000</v>
      </c>
      <c r="K11" s="238"/>
    </row>
    <row r="12" spans="1:11" x14ac:dyDescent="0.3">
      <c r="A12" s="13">
        <v>5</v>
      </c>
      <c r="B12" s="21" t="str">
        <f>+[1]Mayores!M3</f>
        <v>EQUIPOS DE COMP.</v>
      </c>
      <c r="C12" s="116" t="s">
        <v>374</v>
      </c>
      <c r="D12" s="21">
        <f>+[1]Mayores!M5</f>
        <v>3000</v>
      </c>
      <c r="E12" s="21"/>
      <c r="F12" s="114">
        <f t="shared" si="0"/>
        <v>3000</v>
      </c>
      <c r="G12" s="114">
        <f t="shared" si="1"/>
        <v>0</v>
      </c>
      <c r="H12" s="236"/>
      <c r="I12" s="236"/>
      <c r="J12" s="238">
        <v>3000</v>
      </c>
      <c r="K12" s="238" t="s">
        <v>452</v>
      </c>
    </row>
    <row r="13" spans="1:11" x14ac:dyDescent="0.3">
      <c r="A13" s="13">
        <v>6</v>
      </c>
      <c r="B13" s="21" t="str">
        <f>+[1]Mayores!A14</f>
        <v>DOCUMENTOS POR PAGAR</v>
      </c>
      <c r="C13" s="116" t="s">
        <v>457</v>
      </c>
      <c r="D13" s="21"/>
      <c r="E13" s="21">
        <f>+[1]Mayores!B16</f>
        <v>4000</v>
      </c>
      <c r="F13" s="114">
        <f t="shared" si="0"/>
        <v>0</v>
      </c>
      <c r="G13" s="114">
        <f t="shared" si="1"/>
        <v>4000</v>
      </c>
      <c r="H13" s="236">
        <v>0</v>
      </c>
      <c r="I13" s="236">
        <v>0</v>
      </c>
      <c r="J13" s="238">
        <v>0</v>
      </c>
      <c r="K13" s="238">
        <v>4000</v>
      </c>
    </row>
    <row r="14" spans="1:11" x14ac:dyDescent="0.3">
      <c r="A14" s="13">
        <v>7</v>
      </c>
      <c r="B14" s="21" t="str">
        <f>+[1]Mayores!D14</f>
        <v>CUENTAS POR PAGAR</v>
      </c>
      <c r="C14" s="116" t="s">
        <v>377</v>
      </c>
      <c r="D14" s="21">
        <f>+[1]Mayores!D18</f>
        <v>3840</v>
      </c>
      <c r="E14" s="21">
        <f>+[1]Mayores!E18</f>
        <v>8840</v>
      </c>
      <c r="F14" s="114">
        <f t="shared" si="0"/>
        <v>0</v>
      </c>
      <c r="G14" s="114">
        <f>IF(E14&gt;D14,E14-D14,0)</f>
        <v>5000</v>
      </c>
      <c r="H14" s="236"/>
      <c r="I14" s="236"/>
      <c r="J14" s="238" t="s">
        <v>452</v>
      </c>
      <c r="K14" s="238">
        <v>5000</v>
      </c>
    </row>
    <row r="15" spans="1:11" x14ac:dyDescent="0.3">
      <c r="A15" s="13">
        <v>8</v>
      </c>
      <c r="B15" s="21" t="str">
        <f>+[1]Mayores!G14</f>
        <v>CAPITAL SOCIAL</v>
      </c>
      <c r="C15" s="116" t="s">
        <v>376</v>
      </c>
      <c r="D15" s="21"/>
      <c r="E15" s="21">
        <f>+[1]Mayores!H16</f>
        <v>20900</v>
      </c>
      <c r="F15" s="114">
        <f>IF((D15&gt;E15),(D15-E15),0)</f>
        <v>0</v>
      </c>
      <c r="G15" s="114">
        <f>IF(E15&gt;D15,E15-D15,0)</f>
        <v>20900</v>
      </c>
      <c r="H15" s="236"/>
      <c r="I15" s="236"/>
      <c r="J15" s="238" t="s">
        <v>452</v>
      </c>
      <c r="K15" s="238">
        <v>20900</v>
      </c>
    </row>
    <row r="16" spans="1:11" x14ac:dyDescent="0.3">
      <c r="A16" s="13">
        <v>9</v>
      </c>
      <c r="B16" s="21" t="str">
        <f>+[1]Mayores!J14</f>
        <v xml:space="preserve">DOCUMEN. POR COBRAR </v>
      </c>
      <c r="C16" s="116" t="s">
        <v>374</v>
      </c>
      <c r="D16" s="21">
        <f>+[1]Mayores!J16</f>
        <v>5640</v>
      </c>
      <c r="F16" s="114">
        <f>IF((D16&gt;E16),(D16-E16),0)</f>
        <v>5640</v>
      </c>
      <c r="G16" s="114">
        <f>IF(E16&gt;D16,E16-D16,0)</f>
        <v>0</v>
      </c>
      <c r="H16" s="236" t="s">
        <v>452</v>
      </c>
      <c r="I16" s="236"/>
      <c r="J16" s="238">
        <v>5640</v>
      </c>
      <c r="K16" s="238"/>
    </row>
    <row r="17" spans="1:11" x14ac:dyDescent="0.3">
      <c r="A17" s="13">
        <v>10</v>
      </c>
      <c r="B17" s="21" t="str">
        <f>[1]Mayores!M14</f>
        <v>IMP. A LAS TRANSACCIONES</v>
      </c>
      <c r="C17" s="116" t="s">
        <v>375</v>
      </c>
      <c r="D17" s="21">
        <f>+[1]Mayores!M18</f>
        <v>756</v>
      </c>
      <c r="E17" s="21"/>
      <c r="F17" s="114">
        <f>IF((D17&gt;E17),(D17-E17),0)</f>
        <v>756</v>
      </c>
      <c r="G17" s="114">
        <f>IF(E17&gt;D17,E17-D17,0)</f>
        <v>0</v>
      </c>
      <c r="H17" s="236">
        <v>756</v>
      </c>
      <c r="I17" s="236">
        <v>0</v>
      </c>
      <c r="J17" s="238">
        <v>0</v>
      </c>
      <c r="K17" s="238">
        <v>0</v>
      </c>
    </row>
    <row r="18" spans="1:11" x14ac:dyDescent="0.3">
      <c r="A18" s="13">
        <v>11</v>
      </c>
      <c r="B18" s="21" t="str">
        <f>+[1]Mayores!A23</f>
        <v>VENTAS</v>
      </c>
      <c r="C18" s="116" t="s">
        <v>378</v>
      </c>
      <c r="D18" s="21"/>
      <c r="E18" s="21">
        <f>+[1]Mayores!B27</f>
        <v>21924</v>
      </c>
      <c r="F18" s="114">
        <f>IF((D18&gt;E18),(D18-E18),0)</f>
        <v>0</v>
      </c>
      <c r="G18" s="114">
        <f>IF(E18&gt;D18,E18-D18,0)</f>
        <v>21924</v>
      </c>
      <c r="H18" s="236"/>
      <c r="I18" s="236">
        <f>+G18</f>
        <v>21924</v>
      </c>
      <c r="J18" s="238"/>
      <c r="K18" s="238" t="s">
        <v>452</v>
      </c>
    </row>
    <row r="19" spans="1:11" x14ac:dyDescent="0.3">
      <c r="A19" s="13">
        <v>12</v>
      </c>
      <c r="B19" s="21" t="str">
        <f>+[1]Mayores!D23</f>
        <v>DEBITO FISCAL</v>
      </c>
      <c r="C19" s="116" t="s">
        <v>377</v>
      </c>
      <c r="D19" s="21"/>
      <c r="E19" s="21">
        <f>+[1]Mayores!E28</f>
        <v>3296.8</v>
      </c>
      <c r="F19" s="114">
        <f t="shared" si="0"/>
        <v>0</v>
      </c>
      <c r="G19" s="114">
        <f t="shared" si="1"/>
        <v>3296.8</v>
      </c>
      <c r="H19" s="236"/>
      <c r="I19" s="236"/>
      <c r="J19" s="238"/>
      <c r="K19" s="238">
        <f>+G19</f>
        <v>3296.8</v>
      </c>
    </row>
    <row r="20" spans="1:11" x14ac:dyDescent="0.3">
      <c r="A20" s="13">
        <v>13</v>
      </c>
      <c r="B20" s="21" t="str">
        <f>+[1]Mayores!G23</f>
        <v>I.T. POR PAGAR</v>
      </c>
      <c r="C20" s="116" t="s">
        <v>377</v>
      </c>
      <c r="D20" s="21"/>
      <c r="E20" s="21">
        <f>+[1]Mayores!H27</f>
        <v>756</v>
      </c>
      <c r="F20" s="114">
        <f t="shared" si="0"/>
        <v>0</v>
      </c>
      <c r="G20" s="114">
        <f t="shared" si="1"/>
        <v>756</v>
      </c>
      <c r="H20" s="236" t="s">
        <v>452</v>
      </c>
      <c r="I20" s="236"/>
      <c r="J20" s="238"/>
      <c r="K20" s="238">
        <v>756</v>
      </c>
    </row>
    <row r="21" spans="1:11" x14ac:dyDescent="0.3">
      <c r="A21" s="13">
        <v>14</v>
      </c>
      <c r="B21" s="21" t="str">
        <f>+[1]Mayores!J23</f>
        <v>CREDITO FISCAL</v>
      </c>
      <c r="C21" s="116" t="s">
        <v>374</v>
      </c>
      <c r="D21" s="21">
        <f>+[1]Mayores!J27</f>
        <v>1664</v>
      </c>
      <c r="E21" s="21"/>
      <c r="F21" s="114">
        <f t="shared" si="0"/>
        <v>1664</v>
      </c>
      <c r="G21" s="114">
        <f t="shared" si="1"/>
        <v>0</v>
      </c>
      <c r="H21" s="236"/>
      <c r="I21" s="236"/>
      <c r="J21" s="238">
        <v>1664</v>
      </c>
      <c r="K21" s="238">
        <v>0</v>
      </c>
    </row>
    <row r="22" spans="1:11" x14ac:dyDescent="0.3">
      <c r="A22" s="13">
        <v>15</v>
      </c>
      <c r="B22" s="21" t="str">
        <f>+[1]Mayores!M23</f>
        <v>SUELDOS Y SALARIOS</v>
      </c>
      <c r="C22" s="116" t="s">
        <v>375</v>
      </c>
      <c r="D22" s="21">
        <f>+[1]Mayores!M25</f>
        <v>13000</v>
      </c>
      <c r="E22" s="21"/>
      <c r="F22" s="114">
        <f t="shared" si="0"/>
        <v>13000</v>
      </c>
      <c r="G22" s="114">
        <f t="shared" si="1"/>
        <v>0</v>
      </c>
      <c r="H22" s="236">
        <f>+F22</f>
        <v>13000</v>
      </c>
      <c r="I22" s="236"/>
      <c r="J22" s="238"/>
      <c r="K22" s="238"/>
    </row>
    <row r="23" spans="1:11" x14ac:dyDescent="0.3">
      <c r="A23" s="13">
        <v>16</v>
      </c>
      <c r="B23" s="21" t="str">
        <f>+[1]Mayores!A30</f>
        <v>APORTE LAB. GEST. POR PAGAR</v>
      </c>
      <c r="C23" s="116" t="s">
        <v>377</v>
      </c>
      <c r="D23" s="21"/>
      <c r="E23" s="21">
        <f>+[1]Mayores!B32</f>
        <v>1652.3</v>
      </c>
      <c r="F23" s="114">
        <f t="shared" si="0"/>
        <v>0</v>
      </c>
      <c r="G23" s="114">
        <f t="shared" si="1"/>
        <v>1652.3</v>
      </c>
      <c r="H23" s="236"/>
      <c r="I23" s="236"/>
      <c r="J23" s="238"/>
      <c r="K23" s="238">
        <f>+G23</f>
        <v>1652.3</v>
      </c>
    </row>
    <row r="24" spans="1:11" x14ac:dyDescent="0.3">
      <c r="A24" s="13">
        <v>17</v>
      </c>
      <c r="B24" s="21" t="str">
        <f>+[1]Mayores!D30</f>
        <v xml:space="preserve">APORTES PATRO. GESTORA </v>
      </c>
      <c r="C24" s="116" t="s">
        <v>375</v>
      </c>
      <c r="D24" s="21">
        <f>+[1]Mayores!D32</f>
        <v>872.3</v>
      </c>
      <c r="E24" s="21"/>
      <c r="F24" s="114">
        <f t="shared" si="0"/>
        <v>872.3</v>
      </c>
      <c r="G24" s="114">
        <f t="shared" si="1"/>
        <v>0</v>
      </c>
      <c r="H24" s="236">
        <f>+F24</f>
        <v>872.3</v>
      </c>
      <c r="I24" s="236"/>
      <c r="J24" s="238"/>
      <c r="K24" s="238"/>
    </row>
    <row r="25" spans="1:11" x14ac:dyDescent="0.3">
      <c r="A25" s="13">
        <v>18</v>
      </c>
      <c r="B25" s="21" t="str">
        <f>+[1]Mayores!G30</f>
        <v>CAJA DE SALUD</v>
      </c>
      <c r="C25" s="116" t="s">
        <v>375</v>
      </c>
      <c r="D25" s="21">
        <f>+[1]Mayores!G32</f>
        <v>1300</v>
      </c>
      <c r="E25" s="21"/>
      <c r="F25" s="114">
        <f t="shared" si="0"/>
        <v>1300</v>
      </c>
      <c r="G25" s="114">
        <f t="shared" si="1"/>
        <v>0</v>
      </c>
      <c r="H25" s="236">
        <f t="shared" ref="H25:H28" si="3">+F25</f>
        <v>1300</v>
      </c>
      <c r="I25" s="236"/>
      <c r="J25" s="238"/>
      <c r="K25" s="238"/>
    </row>
    <row r="26" spans="1:11" x14ac:dyDescent="0.3">
      <c r="A26" s="13">
        <v>19</v>
      </c>
      <c r="B26" s="21" t="str">
        <f>+[1]Mayores!J30</f>
        <v>AGUINALDOS</v>
      </c>
      <c r="C26" s="116" t="s">
        <v>375</v>
      </c>
      <c r="D26" s="21">
        <f>+[1]Mayores!J32</f>
        <v>1083.33</v>
      </c>
      <c r="E26" s="21"/>
      <c r="F26" s="114">
        <f t="shared" si="0"/>
        <v>1083.33</v>
      </c>
      <c r="G26" s="114">
        <f t="shared" si="1"/>
        <v>0</v>
      </c>
      <c r="H26" s="236">
        <f t="shared" si="3"/>
        <v>1083.33</v>
      </c>
      <c r="I26" s="236"/>
      <c r="J26" s="238"/>
      <c r="K26" s="238"/>
    </row>
    <row r="27" spans="1:11" x14ac:dyDescent="0.3">
      <c r="A27" s="13">
        <v>20</v>
      </c>
      <c r="B27" s="21" t="str">
        <f>+[1]Mayores!M30</f>
        <v>INDEMNIZACION</v>
      </c>
      <c r="C27" s="116" t="s">
        <v>375</v>
      </c>
      <c r="D27" s="21">
        <f>+[1]Mayores!M32</f>
        <v>1083.33</v>
      </c>
      <c r="E27" s="21"/>
      <c r="F27" s="114">
        <f t="shared" si="0"/>
        <v>1083.33</v>
      </c>
      <c r="G27" s="114">
        <f t="shared" si="1"/>
        <v>0</v>
      </c>
      <c r="H27" s="236">
        <f t="shared" si="3"/>
        <v>1083.33</v>
      </c>
      <c r="I27" s="236"/>
      <c r="J27" s="238"/>
      <c r="K27" s="238"/>
    </row>
    <row r="28" spans="1:11" x14ac:dyDescent="0.3">
      <c r="A28" s="13">
        <v>21</v>
      </c>
      <c r="B28" s="21" t="str">
        <f>+[1]Mayores!A37</f>
        <v>PRIMAS</v>
      </c>
      <c r="C28" s="116" t="s">
        <v>375</v>
      </c>
      <c r="D28" s="21">
        <f>+[1]Mayores!A39</f>
        <v>1083.33</v>
      </c>
      <c r="E28" s="21"/>
      <c r="F28" s="114">
        <f t="shared" si="0"/>
        <v>1083.33</v>
      </c>
      <c r="G28" s="114">
        <f t="shared" si="1"/>
        <v>0</v>
      </c>
      <c r="H28" s="236">
        <f t="shared" si="3"/>
        <v>1083.33</v>
      </c>
      <c r="I28" s="236"/>
      <c r="J28" s="238"/>
      <c r="K28" s="238"/>
    </row>
    <row r="29" spans="1:11" x14ac:dyDescent="0.3">
      <c r="A29" s="13">
        <v>22</v>
      </c>
      <c r="B29" s="21" t="str">
        <f>+[1]Mayores!D37</f>
        <v>APOR.PAT.GEST.POR PAGAR</v>
      </c>
      <c r="C29" s="116" t="s">
        <v>377</v>
      </c>
      <c r="D29" s="21"/>
      <c r="E29" s="21">
        <f>+[1]Mayores!E38</f>
        <v>872.3</v>
      </c>
      <c r="F29" s="114">
        <f t="shared" si="0"/>
        <v>0</v>
      </c>
      <c r="G29" s="114">
        <f t="shared" si="1"/>
        <v>872.3</v>
      </c>
      <c r="H29" s="236"/>
      <c r="I29" s="236"/>
      <c r="J29" s="238"/>
      <c r="K29" s="238">
        <f>+G29</f>
        <v>872.3</v>
      </c>
    </row>
    <row r="30" spans="1:11" x14ac:dyDescent="0.3">
      <c r="A30" s="13">
        <v>23</v>
      </c>
      <c r="B30" s="21" t="str">
        <f>+[1]Mayores!G37</f>
        <v>CAJA SALUD. POR PAGAR</v>
      </c>
      <c r="C30" s="116" t="s">
        <v>377</v>
      </c>
      <c r="D30" s="21">
        <f>+[1]Mayores!G42</f>
        <v>0</v>
      </c>
      <c r="E30" s="21">
        <f>+[1]Mayores!H42</f>
        <v>1300</v>
      </c>
      <c r="F30" s="114">
        <f t="shared" si="0"/>
        <v>0</v>
      </c>
      <c r="G30" s="114">
        <f t="shared" si="1"/>
        <v>1300</v>
      </c>
      <c r="H30" s="236"/>
      <c r="I30" s="236"/>
      <c r="J30" s="238"/>
      <c r="K30" s="238">
        <f t="shared" ref="K30:K33" si="4">+G30</f>
        <v>1300</v>
      </c>
    </row>
    <row r="31" spans="1:11" x14ac:dyDescent="0.3">
      <c r="A31" s="13">
        <v>24</v>
      </c>
      <c r="B31" s="21" t="s">
        <v>107</v>
      </c>
      <c r="C31" s="116" t="s">
        <v>377</v>
      </c>
      <c r="D31" s="112"/>
      <c r="E31" s="21">
        <f>+[1]Mayores!K38</f>
        <v>1083.33</v>
      </c>
      <c r="F31" s="114">
        <f t="shared" si="0"/>
        <v>0</v>
      </c>
      <c r="G31" s="114">
        <f t="shared" si="1"/>
        <v>1083.33</v>
      </c>
      <c r="H31" s="236"/>
      <c r="I31" s="236"/>
      <c r="J31" s="238"/>
      <c r="K31" s="238">
        <f t="shared" si="4"/>
        <v>1083.33</v>
      </c>
    </row>
    <row r="32" spans="1:11" x14ac:dyDescent="0.3">
      <c r="A32" s="13">
        <v>25</v>
      </c>
      <c r="B32" s="21" t="s">
        <v>455</v>
      </c>
      <c r="C32" s="116" t="s">
        <v>377</v>
      </c>
      <c r="D32" s="21"/>
      <c r="E32" s="21">
        <f>+[1]Mayores!N38</f>
        <v>1083.33</v>
      </c>
      <c r="F32" s="114">
        <f t="shared" si="0"/>
        <v>0</v>
      </c>
      <c r="G32" s="114">
        <f t="shared" si="1"/>
        <v>1083.33</v>
      </c>
      <c r="H32" s="236"/>
      <c r="I32" s="236"/>
      <c r="J32" s="238"/>
      <c r="K32" s="238">
        <f t="shared" si="4"/>
        <v>1083.33</v>
      </c>
    </row>
    <row r="33" spans="1:11" x14ac:dyDescent="0.3">
      <c r="A33" s="13">
        <v>26</v>
      </c>
      <c r="B33" s="21" t="s">
        <v>263</v>
      </c>
      <c r="C33" s="116" t="s">
        <v>377</v>
      </c>
      <c r="D33" s="21"/>
      <c r="E33" s="21">
        <f>+[1]Mayores!B46</f>
        <v>1083.33</v>
      </c>
      <c r="F33" s="114">
        <f t="shared" si="0"/>
        <v>0</v>
      </c>
      <c r="G33" s="114">
        <f t="shared" si="1"/>
        <v>1083.33</v>
      </c>
      <c r="H33" s="236"/>
      <c r="I33" s="236"/>
      <c r="J33" s="238"/>
      <c r="K33" s="238">
        <f t="shared" si="4"/>
        <v>1083.33</v>
      </c>
    </row>
    <row r="34" spans="1:11" x14ac:dyDescent="0.3">
      <c r="A34" s="13">
        <v>27</v>
      </c>
      <c r="B34" s="21" t="s">
        <v>456</v>
      </c>
      <c r="C34" s="116" t="s">
        <v>375</v>
      </c>
      <c r="D34" s="21">
        <f>+[1]Mayores!D46</f>
        <v>500</v>
      </c>
      <c r="E34" s="21"/>
      <c r="F34" s="114">
        <f t="shared" si="0"/>
        <v>500</v>
      </c>
      <c r="G34" s="114">
        <f t="shared" si="1"/>
        <v>0</v>
      </c>
      <c r="H34" s="236">
        <v>500</v>
      </c>
      <c r="I34" s="236">
        <v>0</v>
      </c>
      <c r="J34" s="238"/>
      <c r="K34" s="238"/>
    </row>
    <row r="35" spans="1:11" x14ac:dyDescent="0.3">
      <c r="A35" s="13">
        <v>28</v>
      </c>
      <c r="B35" s="21" t="s">
        <v>127</v>
      </c>
      <c r="C35" s="116" t="s">
        <v>375</v>
      </c>
      <c r="D35" s="21">
        <f>+[1]Mayores!G46</f>
        <v>2001</v>
      </c>
      <c r="E35" s="21"/>
      <c r="F35" s="114">
        <f>IF((D35&gt;E35),(D35-E35),0)</f>
        <v>2001</v>
      </c>
      <c r="G35" s="114">
        <f>IF(E35&gt;D35,E35-D35,0)</f>
        <v>0</v>
      </c>
      <c r="H35" s="236">
        <v>2001</v>
      </c>
      <c r="I35" s="236"/>
      <c r="J35" s="238"/>
      <c r="K35" s="238"/>
    </row>
    <row r="36" spans="1:11" x14ac:dyDescent="0.3">
      <c r="A36" s="13">
        <v>29</v>
      </c>
      <c r="B36" s="13" t="s">
        <v>430</v>
      </c>
      <c r="C36" s="116" t="s">
        <v>378</v>
      </c>
      <c r="D36" s="21"/>
      <c r="E36" s="21">
        <f>+[1]Mayores!K46</f>
        <v>139.19999999999999</v>
      </c>
      <c r="F36" s="114">
        <f t="shared" si="0"/>
        <v>0</v>
      </c>
      <c r="G36" s="114">
        <f t="shared" si="1"/>
        <v>139.19999999999999</v>
      </c>
      <c r="H36" s="236"/>
      <c r="I36" s="236">
        <v>139.19999999999999</v>
      </c>
      <c r="J36" s="238"/>
      <c r="K36" s="238"/>
    </row>
    <row r="37" spans="1:11" s="3" customFormat="1" x14ac:dyDescent="0.3">
      <c r="A37" s="106"/>
      <c r="B37" s="106" t="s">
        <v>370</v>
      </c>
      <c r="C37" s="117"/>
      <c r="D37" s="112">
        <f>SUM(D8:D36)</f>
        <v>112818.29000000001</v>
      </c>
      <c r="E37" s="112">
        <f>SUM(E8:E36)</f>
        <v>112818.29000000001</v>
      </c>
      <c r="F37" s="115">
        <f>SUM(F4:F36)</f>
        <v>75018.290000000008</v>
      </c>
      <c r="G37" s="115">
        <f>SUM(G4:G36)</f>
        <v>75018.290000000008</v>
      </c>
      <c r="H37" s="237">
        <f>SUM(H8:H36)</f>
        <v>21679.29</v>
      </c>
      <c r="I37" s="237">
        <f t="shared" ref="I37" si="5">SUM(I8:I36)</f>
        <v>22063.200000000001</v>
      </c>
      <c r="J37" s="239">
        <f>SUM(J8:J36)</f>
        <v>53339</v>
      </c>
      <c r="K37" s="239">
        <f>SUM(K8:K36)</f>
        <v>52955.090000000011</v>
      </c>
    </row>
    <row r="38" spans="1:11" x14ac:dyDescent="0.3">
      <c r="B38" s="165" t="s">
        <v>385</v>
      </c>
      <c r="C38" s="166"/>
      <c r="D38" s="166"/>
      <c r="E38" s="166"/>
      <c r="F38" s="166"/>
      <c r="G38" s="167"/>
      <c r="H38" s="21"/>
      <c r="I38" s="237">
        <f>H37-I37</f>
        <v>-383.90999999999985</v>
      </c>
      <c r="J38" s="239">
        <f>K37-J37</f>
        <v>-383.90999999998894</v>
      </c>
      <c r="K38" s="21"/>
    </row>
    <row r="39" spans="1:11" x14ac:dyDescent="0.3">
      <c r="B39" s="165" t="s">
        <v>370</v>
      </c>
      <c r="C39" s="166"/>
      <c r="D39" s="166"/>
      <c r="E39" s="166"/>
      <c r="F39" s="166"/>
      <c r="G39" s="167"/>
      <c r="H39" s="112">
        <f>SUM(H37:H38)</f>
        <v>21679.29</v>
      </c>
      <c r="I39" s="112">
        <f>SUM(I37:I38)</f>
        <v>21679.29</v>
      </c>
      <c r="J39" s="112">
        <f>SUM(J37:J38)</f>
        <v>52955.090000000011</v>
      </c>
      <c r="K39" s="112">
        <f>SUM(K37:K38)</f>
        <v>52955.090000000011</v>
      </c>
    </row>
    <row r="40" spans="1:11" hidden="1" x14ac:dyDescent="0.3"/>
    <row r="41" spans="1:11" hidden="1" x14ac:dyDescent="0.3">
      <c r="E41" s="15">
        <f>D37-E37</f>
        <v>0</v>
      </c>
      <c r="G41" s="15">
        <f>F37-G37</f>
        <v>0</v>
      </c>
      <c r="I41" s="15">
        <f>J38+I38</f>
        <v>-767.8199999999888</v>
      </c>
    </row>
    <row r="42" spans="1:11" hidden="1" x14ac:dyDescent="0.3"/>
    <row r="43" spans="1:11" hidden="1" x14ac:dyDescent="0.3">
      <c r="F43" s="15">
        <f>E41-G41</f>
        <v>0</v>
      </c>
    </row>
  </sheetData>
  <autoFilter ref="A6:K39" xr:uid="{724CD5A9-7883-44DB-B2F5-250BE311B82D}">
    <filterColumn colId="3" showButton="0"/>
    <filterColumn colId="5" showButton="0"/>
    <filterColumn colId="7" showButton="0"/>
    <filterColumn colId="9" showButton="0"/>
  </autoFilter>
  <mergeCells count="12">
    <mergeCell ref="H6:I6"/>
    <mergeCell ref="J6:K6"/>
    <mergeCell ref="B38:G38"/>
    <mergeCell ref="B39:G39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FC83-83EF-4F07-844F-6DAD2979D8D3}">
  <dimension ref="B4:G23"/>
  <sheetViews>
    <sheetView topLeftCell="A17" zoomScale="190" zoomScaleNormal="190" workbookViewId="0">
      <selection activeCell="D16" sqref="D16"/>
    </sheetView>
  </sheetViews>
  <sheetFormatPr baseColWidth="10" defaultRowHeight="14.4" x14ac:dyDescent="0.3"/>
  <cols>
    <col min="1" max="1" width="6.5546875" customWidth="1"/>
    <col min="3" max="3" width="17.44140625" customWidth="1"/>
  </cols>
  <sheetData>
    <row r="4" spans="2:7" x14ac:dyDescent="0.3">
      <c r="B4" t="s">
        <v>348</v>
      </c>
    </row>
    <row r="5" spans="2:7" x14ac:dyDescent="0.3">
      <c r="B5" s="158" t="s">
        <v>349</v>
      </c>
      <c r="C5" s="158"/>
      <c r="D5" s="158"/>
      <c r="E5" s="158"/>
    </row>
    <row r="6" spans="2:7" ht="9" customHeight="1" x14ac:dyDescent="0.3"/>
    <row r="7" spans="2:7" x14ac:dyDescent="0.3">
      <c r="B7" t="s">
        <v>350</v>
      </c>
    </row>
    <row r="8" spans="2:7" ht="6" customHeight="1" x14ac:dyDescent="0.3"/>
    <row r="9" spans="2:7" s="27" customFormat="1" x14ac:dyDescent="0.3">
      <c r="B9" s="105" t="s">
        <v>351</v>
      </c>
      <c r="C9" s="105" t="s">
        <v>238</v>
      </c>
      <c r="D9" s="105" t="s">
        <v>352</v>
      </c>
      <c r="E9" s="105" t="s">
        <v>353</v>
      </c>
    </row>
    <row r="10" spans="2:7" x14ac:dyDescent="0.3">
      <c r="B10" s="13">
        <v>1</v>
      </c>
      <c r="C10" s="13" t="s">
        <v>354</v>
      </c>
      <c r="D10" s="13">
        <v>12000</v>
      </c>
      <c r="E10" s="13">
        <f>+D10</f>
        <v>12000</v>
      </c>
    </row>
    <row r="11" spans="2:7" x14ac:dyDescent="0.3">
      <c r="B11" s="13"/>
      <c r="C11" s="13"/>
      <c r="D11" s="13"/>
      <c r="E11" s="13"/>
    </row>
    <row r="12" spans="2:7" x14ac:dyDescent="0.3">
      <c r="B12" s="13"/>
      <c r="C12" s="13"/>
      <c r="D12" s="13"/>
      <c r="E12" s="13"/>
      <c r="F12" t="s">
        <v>358</v>
      </c>
      <c r="G12" t="s">
        <v>359</v>
      </c>
    </row>
    <row r="13" spans="2:7" x14ac:dyDescent="0.3">
      <c r="B13" s="13"/>
      <c r="C13" s="13"/>
      <c r="D13" s="13"/>
      <c r="E13" s="13"/>
      <c r="F13" s="72">
        <v>0.13</v>
      </c>
      <c r="G13" s="72">
        <v>0.87</v>
      </c>
    </row>
    <row r="14" spans="2:7" x14ac:dyDescent="0.3">
      <c r="B14" s="13"/>
      <c r="C14" s="13" t="s">
        <v>353</v>
      </c>
      <c r="D14" s="13"/>
      <c r="E14" s="109">
        <f>+E10</f>
        <v>12000</v>
      </c>
      <c r="F14">
        <f>+E14*F13</f>
        <v>1560</v>
      </c>
      <c r="G14">
        <f>+E14-F14</f>
        <v>10440</v>
      </c>
    </row>
    <row r="15" spans="2:7" x14ac:dyDescent="0.3">
      <c r="B15" s="13"/>
      <c r="C15" s="13" t="s">
        <v>355</v>
      </c>
      <c r="D15" s="107">
        <v>0.05</v>
      </c>
      <c r="E15" s="108">
        <f>+E14*0.05</f>
        <v>600</v>
      </c>
    </row>
    <row r="16" spans="2:7" s="3" customFormat="1" x14ac:dyDescent="0.3">
      <c r="B16" s="106"/>
      <c r="C16" s="106" t="s">
        <v>356</v>
      </c>
      <c r="D16" s="106"/>
      <c r="E16" s="106">
        <f>E14-E15</f>
        <v>11400</v>
      </c>
    </row>
    <row r="21" spans="3:5" x14ac:dyDescent="0.3">
      <c r="C21" s="13" t="s">
        <v>251</v>
      </c>
      <c r="D21" s="21">
        <f>+E23-D22</f>
        <v>9918</v>
      </c>
      <c r="E21" s="21"/>
    </row>
    <row r="22" spans="3:5" x14ac:dyDescent="0.3">
      <c r="C22" s="13" t="s">
        <v>269</v>
      </c>
      <c r="D22" s="110">
        <f>+E23*0.13</f>
        <v>1482</v>
      </c>
      <c r="E22" s="21"/>
    </row>
    <row r="23" spans="3:5" x14ac:dyDescent="0.3">
      <c r="C23" s="13" t="s">
        <v>347</v>
      </c>
      <c r="D23" s="21"/>
      <c r="E23" s="21">
        <v>11400</v>
      </c>
    </row>
  </sheetData>
  <mergeCells count="1">
    <mergeCell ref="B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1C9B-FA82-4EF5-B669-A84905A448DC}">
  <dimension ref="A9:AE46"/>
  <sheetViews>
    <sheetView showGridLines="0" topLeftCell="A13" zoomScaleNormal="100" workbookViewId="0">
      <selection activeCell="M26" sqref="M26"/>
    </sheetView>
  </sheetViews>
  <sheetFormatPr baseColWidth="10" defaultRowHeight="14.4" x14ac:dyDescent="0.3"/>
  <cols>
    <col min="1" max="1" width="7" customWidth="1"/>
    <col min="2" max="2" width="14.109375" hidden="1" customWidth="1"/>
    <col min="4" max="4" width="10.109375" customWidth="1"/>
    <col min="5" max="5" width="8.5546875" customWidth="1"/>
    <col min="6" max="6" width="13.44140625" hidden="1" customWidth="1"/>
    <col min="7" max="7" width="14" hidden="1" customWidth="1"/>
    <col min="8" max="8" width="9.109375" hidden="1" customWidth="1"/>
    <col min="9" max="9" width="12.33203125" hidden="1" customWidth="1"/>
    <col min="10" max="10" width="13.88671875" hidden="1" customWidth="1"/>
    <col min="11" max="11" width="10.88671875" customWidth="1"/>
    <col min="12" max="12" width="13.44140625" customWidth="1"/>
    <col min="14" max="15" width="9" hidden="1" customWidth="1"/>
    <col min="16" max="16" width="10.33203125" hidden="1" customWidth="1"/>
    <col min="17" max="17" width="9.33203125" hidden="1" customWidth="1"/>
    <col min="18" max="18" width="9.5546875" hidden="1" customWidth="1"/>
    <col min="19" max="20" width="15.109375" customWidth="1"/>
    <col min="21" max="24" width="0" hidden="1" customWidth="1"/>
    <col min="25" max="25" width="14.88671875" customWidth="1"/>
    <col min="26" max="26" width="6.88671875" customWidth="1"/>
    <col min="27" max="27" width="8.88671875" customWidth="1"/>
  </cols>
  <sheetData>
    <row r="9" spans="1:26" ht="15.6" x14ac:dyDescent="0.3">
      <c r="A9" s="29" t="s">
        <v>276</v>
      </c>
      <c r="B9" s="30"/>
      <c r="C9" s="30"/>
      <c r="D9" s="30"/>
      <c r="E9" s="31"/>
      <c r="G9" s="31"/>
      <c r="H9" s="31"/>
      <c r="I9" s="31"/>
      <c r="J9" s="31"/>
      <c r="K9" s="32"/>
    </row>
    <row r="10" spans="1:26" ht="15.6" x14ac:dyDescent="0.3">
      <c r="A10" s="29" t="s">
        <v>277</v>
      </c>
      <c r="B10" s="30"/>
      <c r="C10" s="30"/>
      <c r="D10" s="30"/>
      <c r="E10" s="31"/>
      <c r="F10" s="31"/>
      <c r="G10" s="31"/>
      <c r="H10" s="31"/>
      <c r="I10" s="31"/>
      <c r="J10" s="31"/>
      <c r="K10" s="32"/>
    </row>
    <row r="11" spans="1:26" ht="15.6" x14ac:dyDescent="0.3">
      <c r="A11" s="29" t="s">
        <v>278</v>
      </c>
      <c r="E11" s="185"/>
      <c r="F11" s="185"/>
      <c r="H11" s="34"/>
    </row>
    <row r="12" spans="1:26" ht="15.6" x14ac:dyDescent="0.3">
      <c r="A12" s="29" t="s">
        <v>279</v>
      </c>
      <c r="E12" s="33"/>
      <c r="H12" s="34"/>
    </row>
    <row r="13" spans="1:26" ht="15.6" x14ac:dyDescent="0.3">
      <c r="A13" s="29" t="s">
        <v>280</v>
      </c>
      <c r="E13" s="185"/>
      <c r="F13" s="185"/>
      <c r="H13" s="34"/>
    </row>
    <row r="14" spans="1:26" ht="17.399999999999999" x14ac:dyDescent="0.3">
      <c r="A14" s="186" t="s">
        <v>281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spans="1:26" ht="17.399999999999999" x14ac:dyDescent="0.3">
      <c r="A15" s="186" t="s">
        <v>282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spans="1:26" ht="15.6" x14ac:dyDescent="0.3">
      <c r="A16" s="187" t="s">
        <v>283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spans="1:31" ht="15.6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31" ht="15.6" x14ac:dyDescent="0.3">
      <c r="A18" s="29" t="s">
        <v>339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31" ht="16.2" thickBot="1" x14ac:dyDescent="0.3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31" s="14" customFormat="1" thickBot="1" x14ac:dyDescent="0.35">
      <c r="A20" s="170" t="s">
        <v>284</v>
      </c>
      <c r="B20" s="173" t="s">
        <v>285</v>
      </c>
      <c r="C20" s="170" t="s">
        <v>286</v>
      </c>
      <c r="D20" s="176"/>
      <c r="E20" s="177"/>
      <c r="F20" s="176" t="s">
        <v>287</v>
      </c>
      <c r="G20" s="182" t="s">
        <v>288</v>
      </c>
      <c r="H20" s="182" t="s">
        <v>289</v>
      </c>
      <c r="I20" s="182" t="s">
        <v>290</v>
      </c>
      <c r="J20" s="182" t="s">
        <v>291</v>
      </c>
      <c r="K20" s="173" t="s">
        <v>292</v>
      </c>
      <c r="L20" s="182" t="s">
        <v>293</v>
      </c>
      <c r="M20" s="182" t="s">
        <v>25</v>
      </c>
      <c r="N20" s="193" t="s">
        <v>294</v>
      </c>
      <c r="O20" s="194"/>
      <c r="P20" s="176" t="s">
        <v>27</v>
      </c>
      <c r="Q20" s="176"/>
      <c r="R20" s="176"/>
      <c r="S20" s="182" t="s">
        <v>295</v>
      </c>
      <c r="T20" s="195" t="s">
        <v>296</v>
      </c>
      <c r="U20" s="195"/>
      <c r="V20" s="195"/>
      <c r="W20" s="195"/>
      <c r="X20" s="182" t="s">
        <v>297</v>
      </c>
      <c r="Y20" s="182" t="s">
        <v>298</v>
      </c>
      <c r="Z20" s="201" t="s">
        <v>299</v>
      </c>
      <c r="AA20" s="202"/>
    </row>
    <row r="21" spans="1:31" s="14" customFormat="1" ht="13.8" x14ac:dyDescent="0.3">
      <c r="A21" s="171"/>
      <c r="B21" s="174"/>
      <c r="C21" s="171"/>
      <c r="D21" s="178"/>
      <c r="E21" s="179"/>
      <c r="F21" s="178"/>
      <c r="G21" s="183"/>
      <c r="H21" s="169"/>
      <c r="I21" s="183"/>
      <c r="J21" s="196"/>
      <c r="K21" s="199"/>
      <c r="L21" s="183"/>
      <c r="M21" s="196"/>
      <c r="N21" s="39"/>
      <c r="O21" s="40"/>
      <c r="P21" s="38"/>
      <c r="Q21" s="38"/>
      <c r="R21" s="37"/>
      <c r="S21" s="183"/>
      <c r="T21" s="178" t="s">
        <v>300</v>
      </c>
      <c r="U21" s="168" t="s">
        <v>301</v>
      </c>
      <c r="V21" s="169" t="s">
        <v>302</v>
      </c>
      <c r="W21" s="41"/>
      <c r="X21" s="196"/>
      <c r="Y21" s="196"/>
      <c r="Z21" s="203"/>
      <c r="AA21" s="204"/>
    </row>
    <row r="22" spans="1:31" s="14" customFormat="1" ht="13.8" x14ac:dyDescent="0.3">
      <c r="A22" s="171"/>
      <c r="B22" s="174"/>
      <c r="C22" s="171"/>
      <c r="D22" s="178"/>
      <c r="E22" s="179"/>
      <c r="F22" s="178"/>
      <c r="G22" s="183"/>
      <c r="H22" s="169"/>
      <c r="I22" s="183"/>
      <c r="J22" s="196"/>
      <c r="K22" s="199"/>
      <c r="L22" s="183"/>
      <c r="M22" s="196"/>
      <c r="N22" s="42"/>
      <c r="O22" s="43" t="s">
        <v>303</v>
      </c>
      <c r="P22" s="42" t="s">
        <v>304</v>
      </c>
      <c r="Q22" s="42" t="s">
        <v>305</v>
      </c>
      <c r="R22" s="41" t="s">
        <v>306</v>
      </c>
      <c r="S22" s="183"/>
      <c r="T22" s="178"/>
      <c r="U22" s="169"/>
      <c r="V22" s="169"/>
      <c r="W22" s="41" t="s">
        <v>306</v>
      </c>
      <c r="X22" s="196"/>
      <c r="Y22" s="196"/>
      <c r="Z22" s="203"/>
      <c r="AA22" s="204"/>
    </row>
    <row r="23" spans="1:31" s="14" customFormat="1" ht="13.8" x14ac:dyDescent="0.3">
      <c r="A23" s="171"/>
      <c r="B23" s="174"/>
      <c r="C23" s="171"/>
      <c r="D23" s="178"/>
      <c r="E23" s="179"/>
      <c r="F23" s="178"/>
      <c r="G23" s="183"/>
      <c r="H23" s="169"/>
      <c r="I23" s="183"/>
      <c r="J23" s="196"/>
      <c r="K23" s="199"/>
      <c r="L23" s="183"/>
      <c r="M23" s="196"/>
      <c r="N23" s="42" t="s">
        <v>307</v>
      </c>
      <c r="O23" s="43" t="s">
        <v>308</v>
      </c>
      <c r="P23" s="42" t="s">
        <v>309</v>
      </c>
      <c r="Q23" s="42" t="s">
        <v>310</v>
      </c>
      <c r="R23" s="41" t="s">
        <v>27</v>
      </c>
      <c r="S23" s="43" t="s">
        <v>311</v>
      </c>
      <c r="T23" s="44">
        <v>0.12709999999999999</v>
      </c>
      <c r="U23" s="45" t="s">
        <v>312</v>
      </c>
      <c r="V23" s="46">
        <v>0.13</v>
      </c>
      <c r="W23" s="41" t="s">
        <v>313</v>
      </c>
      <c r="X23" s="43" t="s">
        <v>314</v>
      </c>
      <c r="Y23" s="43" t="s">
        <v>315</v>
      </c>
      <c r="Z23" s="203"/>
      <c r="AA23" s="204"/>
    </row>
    <row r="24" spans="1:31" s="14" customFormat="1" thickBot="1" x14ac:dyDescent="0.35">
      <c r="A24" s="172"/>
      <c r="B24" s="175"/>
      <c r="C24" s="172"/>
      <c r="D24" s="180"/>
      <c r="E24" s="181"/>
      <c r="F24" s="180"/>
      <c r="G24" s="184"/>
      <c r="H24" s="197"/>
      <c r="I24" s="184"/>
      <c r="J24" s="198"/>
      <c r="K24" s="200"/>
      <c r="L24" s="48" t="s">
        <v>316</v>
      </c>
      <c r="M24" s="48" t="s">
        <v>317</v>
      </c>
      <c r="N24" s="49"/>
      <c r="O24" s="48" t="s">
        <v>318</v>
      </c>
      <c r="P24" s="47" t="s">
        <v>319</v>
      </c>
      <c r="Q24" s="48" t="s">
        <v>320</v>
      </c>
      <c r="R24" s="47" t="s">
        <v>321</v>
      </c>
      <c r="S24" s="48"/>
      <c r="T24" s="50" t="s">
        <v>322</v>
      </c>
      <c r="U24" s="51" t="s">
        <v>323</v>
      </c>
      <c r="V24" s="51" t="s">
        <v>324</v>
      </c>
      <c r="W24" s="50" t="s">
        <v>325</v>
      </c>
      <c r="X24" s="51" t="s">
        <v>326</v>
      </c>
      <c r="Y24" s="51" t="s">
        <v>327</v>
      </c>
      <c r="Z24" s="205"/>
      <c r="AA24" s="206"/>
    </row>
    <row r="25" spans="1:31" ht="15.6" x14ac:dyDescent="0.3">
      <c r="A25" s="52"/>
      <c r="B25" s="53"/>
      <c r="C25" s="188"/>
      <c r="D25" s="189"/>
      <c r="E25" s="190"/>
      <c r="F25" s="53"/>
      <c r="G25" s="53"/>
      <c r="H25" s="53"/>
      <c r="I25" s="53"/>
      <c r="J25" s="53"/>
      <c r="K25" s="54"/>
      <c r="L25" s="55"/>
      <c r="M25" s="55"/>
      <c r="N25" s="55"/>
      <c r="O25" s="55"/>
      <c r="P25" s="55"/>
      <c r="Q25" s="55"/>
      <c r="R25" s="55"/>
      <c r="S25" s="55"/>
      <c r="T25" s="56"/>
      <c r="U25" s="56"/>
      <c r="V25" s="55"/>
      <c r="W25" s="55"/>
      <c r="X25" s="55"/>
      <c r="Y25" s="55"/>
      <c r="Z25" s="191"/>
      <c r="AA25" s="192"/>
    </row>
    <row r="26" spans="1:31" ht="24.9" customHeight="1" x14ac:dyDescent="0.3">
      <c r="A26" s="57">
        <v>1</v>
      </c>
      <c r="B26" s="58"/>
      <c r="C26" s="207" t="s">
        <v>328</v>
      </c>
      <c r="D26" s="208"/>
      <c r="E26" s="209"/>
      <c r="F26" s="58"/>
      <c r="G26" s="59"/>
      <c r="H26" s="60"/>
      <c r="I26" s="61"/>
      <c r="J26" s="59"/>
      <c r="K26" s="60">
        <v>30</v>
      </c>
      <c r="L26" s="62">
        <v>25000</v>
      </c>
      <c r="M26" s="63">
        <v>0</v>
      </c>
      <c r="N26" s="62"/>
      <c r="O26" s="62"/>
      <c r="P26" s="62"/>
      <c r="Q26" s="62"/>
      <c r="R26" s="62"/>
      <c r="S26" s="63">
        <f>+L26</f>
        <v>25000</v>
      </c>
      <c r="T26" s="64">
        <f>S26*T23</f>
        <v>3177.4999999999995</v>
      </c>
      <c r="U26" s="64"/>
      <c r="V26" s="64"/>
      <c r="W26" s="64"/>
      <c r="X26" s="64"/>
      <c r="Y26" s="65">
        <f>S26-T26</f>
        <v>21822.5</v>
      </c>
      <c r="Z26" s="210"/>
      <c r="AA26" s="211"/>
    </row>
    <row r="27" spans="1:31" ht="24.9" customHeight="1" x14ac:dyDescent="0.3">
      <c r="A27" s="66"/>
      <c r="B27" s="67"/>
      <c r="C27" s="212"/>
      <c r="D27" s="213"/>
      <c r="E27" s="214"/>
      <c r="F27" s="58"/>
      <c r="G27" s="68"/>
      <c r="H27" s="69"/>
      <c r="I27" s="70"/>
      <c r="J27" s="68"/>
      <c r="K27" s="69"/>
      <c r="L27" s="71"/>
      <c r="M27" s="63"/>
      <c r="N27" s="71"/>
      <c r="O27" s="71"/>
      <c r="P27" s="71"/>
      <c r="Q27" s="71"/>
      <c r="R27" s="71"/>
      <c r="S27" s="63"/>
      <c r="T27" s="64"/>
      <c r="U27" s="64"/>
      <c r="V27" s="64"/>
      <c r="W27" s="64"/>
      <c r="X27" s="64"/>
      <c r="Y27" s="64"/>
      <c r="Z27" s="215"/>
      <c r="AA27" s="216"/>
    </row>
    <row r="28" spans="1:31" ht="24.9" hidden="1" customHeight="1" x14ac:dyDescent="0.3">
      <c r="A28" s="66"/>
      <c r="B28" s="67"/>
      <c r="C28" s="212"/>
      <c r="D28" s="213"/>
      <c r="E28" s="214"/>
      <c r="F28" s="58"/>
      <c r="G28" s="68"/>
      <c r="H28" s="69"/>
      <c r="I28" s="70"/>
      <c r="J28" s="68"/>
      <c r="K28" s="69"/>
      <c r="L28" s="71"/>
      <c r="M28" s="63"/>
      <c r="N28" s="71"/>
      <c r="O28" s="71"/>
      <c r="P28" s="71"/>
      <c r="Q28" s="71"/>
      <c r="R28" s="71"/>
      <c r="S28" s="63"/>
      <c r="T28" s="64"/>
      <c r="U28" s="64"/>
      <c r="V28" s="64"/>
      <c r="W28" s="64"/>
      <c r="X28" s="64"/>
      <c r="Y28" s="64"/>
      <c r="Z28" s="215"/>
      <c r="AA28" s="216"/>
    </row>
    <row r="29" spans="1:31" ht="24.9" hidden="1" customHeight="1" x14ac:dyDescent="0.3">
      <c r="A29" s="66"/>
      <c r="B29" s="67"/>
      <c r="C29" s="212"/>
      <c r="D29" s="213"/>
      <c r="E29" s="214"/>
      <c r="F29" s="58"/>
      <c r="G29" s="68"/>
      <c r="H29" s="69"/>
      <c r="I29" s="70"/>
      <c r="J29" s="68"/>
      <c r="K29" s="69"/>
      <c r="L29" s="71"/>
      <c r="M29" s="63"/>
      <c r="N29" s="71"/>
      <c r="O29" s="71"/>
      <c r="P29" s="71"/>
      <c r="Q29" s="71"/>
      <c r="R29" s="71"/>
      <c r="S29" s="63"/>
      <c r="T29" s="64"/>
      <c r="U29" s="64"/>
      <c r="V29" s="64"/>
      <c r="W29" s="64"/>
      <c r="X29" s="64"/>
      <c r="Y29" s="64"/>
      <c r="Z29" s="215"/>
      <c r="AA29" s="216"/>
      <c r="AE29" s="72"/>
    </row>
    <row r="30" spans="1:31" ht="24.9" hidden="1" customHeight="1" x14ac:dyDescent="0.3">
      <c r="A30" s="66"/>
      <c r="B30" s="67"/>
      <c r="C30" s="212"/>
      <c r="D30" s="213"/>
      <c r="E30" s="214"/>
      <c r="F30" s="58"/>
      <c r="G30" s="68"/>
      <c r="H30" s="69"/>
      <c r="I30" s="70"/>
      <c r="J30" s="68"/>
      <c r="K30" s="69"/>
      <c r="L30" s="71"/>
      <c r="M30" s="63"/>
      <c r="N30" s="71"/>
      <c r="O30" s="71"/>
      <c r="P30" s="71"/>
      <c r="Q30" s="71"/>
      <c r="R30" s="71"/>
      <c r="S30" s="63"/>
      <c r="T30" s="64"/>
      <c r="U30" s="64"/>
      <c r="V30" s="64"/>
      <c r="W30" s="64"/>
      <c r="X30" s="64"/>
      <c r="Y30" s="64"/>
      <c r="Z30" s="73"/>
      <c r="AA30" s="74"/>
      <c r="AD30" s="15"/>
    </row>
    <row r="31" spans="1:31" ht="24.9" customHeight="1" x14ac:dyDescent="0.3">
      <c r="A31" s="66"/>
      <c r="B31" s="67"/>
      <c r="C31" s="212"/>
      <c r="D31" s="213"/>
      <c r="E31" s="214"/>
      <c r="F31" s="58"/>
      <c r="G31" s="68"/>
      <c r="H31" s="69"/>
      <c r="I31" s="70"/>
      <c r="J31" s="68"/>
      <c r="K31" s="69"/>
      <c r="L31" s="71"/>
      <c r="M31" s="63"/>
      <c r="N31" s="71"/>
      <c r="O31" s="71"/>
      <c r="P31" s="71"/>
      <c r="Q31" s="71"/>
      <c r="R31" s="71"/>
      <c r="S31" s="63"/>
      <c r="T31" s="64"/>
      <c r="U31" s="64"/>
      <c r="V31" s="64"/>
      <c r="W31" s="64"/>
      <c r="X31" s="64"/>
      <c r="Y31" s="64"/>
      <c r="Z31" s="73"/>
      <c r="AA31" s="74"/>
      <c r="AD31" s="15"/>
    </row>
    <row r="32" spans="1:31" ht="24.9" customHeight="1" thickBot="1" x14ac:dyDescent="0.35">
      <c r="A32" s="75"/>
      <c r="B32" s="76"/>
      <c r="C32" s="217"/>
      <c r="D32" s="218"/>
      <c r="E32" s="219"/>
      <c r="F32" s="76"/>
      <c r="G32" s="76"/>
      <c r="H32" s="76"/>
      <c r="I32" s="76"/>
      <c r="J32" s="76"/>
      <c r="K32" s="77"/>
      <c r="L32" s="78"/>
      <c r="M32" s="78"/>
      <c r="N32" s="78"/>
      <c r="O32" s="78"/>
      <c r="P32" s="78"/>
      <c r="Q32" s="78"/>
      <c r="R32" s="78"/>
      <c r="S32" s="63"/>
      <c r="T32" s="63"/>
      <c r="U32" s="63"/>
      <c r="V32" s="78"/>
      <c r="W32" s="78"/>
      <c r="X32" s="78"/>
      <c r="Y32" s="78"/>
      <c r="Z32" s="220"/>
      <c r="AA32" s="221"/>
    </row>
    <row r="33" spans="1:27" ht="24.9" customHeight="1" thickBot="1" x14ac:dyDescent="0.35">
      <c r="A33" s="222" t="s">
        <v>329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79">
        <f>SUM(L26:L32)</f>
        <v>25000</v>
      </c>
      <c r="M33" s="79">
        <f>SUM(M26:M32)</f>
        <v>0</v>
      </c>
      <c r="N33" s="79">
        <v>0</v>
      </c>
      <c r="O33" s="79">
        <v>0</v>
      </c>
      <c r="P33" s="79">
        <f>SUM(P26:P32)</f>
        <v>0</v>
      </c>
      <c r="Q33" s="79">
        <v>0</v>
      </c>
      <c r="R33" s="79">
        <v>0</v>
      </c>
      <c r="S33" s="80">
        <f>SUM(S26:S32)</f>
        <v>25000</v>
      </c>
      <c r="T33" s="80">
        <f>SUM(T26:T32)</f>
        <v>3177.4999999999995</v>
      </c>
      <c r="U33" s="80">
        <f>SUM(U26:U32)</f>
        <v>0</v>
      </c>
      <c r="V33" s="80">
        <v>0</v>
      </c>
      <c r="W33" s="80">
        <f>SUM(W26:W32)</f>
        <v>0</v>
      </c>
      <c r="X33" s="80">
        <f>SUM(X26:X32)</f>
        <v>0</v>
      </c>
      <c r="Y33" s="80">
        <f>SUM(Y26:Y32)</f>
        <v>21822.5</v>
      </c>
      <c r="Z33" s="81"/>
      <c r="AA33" s="81"/>
    </row>
    <row r="34" spans="1:27" ht="15.6" x14ac:dyDescent="0.3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1"/>
      <c r="AA34" s="81"/>
    </row>
    <row r="35" spans="1:27" ht="15.6" x14ac:dyDescent="0.3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N35" s="30"/>
      <c r="O35" s="30"/>
      <c r="P35" s="30"/>
      <c r="Q35" s="83"/>
      <c r="R35" s="83"/>
      <c r="S35" s="83"/>
      <c r="T35" s="83"/>
      <c r="U35" s="83"/>
      <c r="V35" s="83"/>
      <c r="W35" s="83"/>
      <c r="X35" s="83"/>
      <c r="Y35" s="83"/>
      <c r="Z35" s="81"/>
      <c r="AA35" s="81"/>
    </row>
    <row r="36" spans="1:27" ht="15.6" x14ac:dyDescent="0.3">
      <c r="A36" s="82"/>
      <c r="B36" s="82"/>
      <c r="C36" s="82"/>
      <c r="D36" s="82"/>
      <c r="E36" s="82"/>
      <c r="F36" s="82"/>
      <c r="G36" s="82"/>
      <c r="H36" s="82"/>
      <c r="I36" s="82"/>
      <c r="K36" s="82"/>
      <c r="M36" s="84"/>
      <c r="N36" s="30"/>
      <c r="O36" s="30"/>
      <c r="P36" s="30"/>
      <c r="Q36" s="83"/>
      <c r="R36" s="83"/>
      <c r="S36" s="83"/>
      <c r="T36" s="85"/>
      <c r="U36" s="83"/>
      <c r="V36" s="83"/>
      <c r="W36" s="83"/>
      <c r="X36" s="83"/>
      <c r="Y36" s="83"/>
      <c r="Z36" s="81"/>
      <c r="AA36" s="81"/>
    </row>
    <row r="37" spans="1:27" ht="15.6" x14ac:dyDescent="0.3">
      <c r="A37" s="82"/>
      <c r="B37" s="82"/>
      <c r="C37" s="82"/>
      <c r="D37" s="82"/>
      <c r="E37" s="82"/>
      <c r="F37" s="82"/>
      <c r="G37" s="82"/>
      <c r="H37" s="82"/>
      <c r="J37" s="82"/>
      <c r="L37" s="82"/>
      <c r="N37" s="30"/>
      <c r="O37" s="30"/>
      <c r="P37" s="30"/>
      <c r="R37" s="83"/>
      <c r="S37" s="83"/>
      <c r="T37" s="84"/>
      <c r="U37" s="84"/>
      <c r="V37" s="83"/>
      <c r="W37" s="83"/>
      <c r="X37" s="83"/>
      <c r="Z37" s="81"/>
      <c r="AA37" s="81"/>
    </row>
    <row r="38" spans="1:27" ht="15.6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86"/>
      <c r="T38" s="30"/>
      <c r="U38" s="30"/>
      <c r="V38" s="29"/>
      <c r="W38" s="83"/>
      <c r="X38" s="83"/>
      <c r="Y38" s="31"/>
      <c r="Z38" s="31"/>
    </row>
    <row r="39" spans="1:27" ht="15.6" x14ac:dyDescent="0.3">
      <c r="A39" s="30"/>
      <c r="B39" s="30"/>
      <c r="C39" s="30"/>
      <c r="D39" s="30"/>
      <c r="E39" s="30"/>
      <c r="F39" s="30"/>
      <c r="G39" s="224" t="s">
        <v>330</v>
      </c>
      <c r="H39" s="224"/>
      <c r="I39" s="224"/>
      <c r="J39" s="224"/>
      <c r="K39" s="224"/>
      <c r="L39" s="224"/>
      <c r="M39" s="31"/>
      <c r="N39" s="224" t="s">
        <v>331</v>
      </c>
      <c r="O39" s="224"/>
      <c r="P39" s="224"/>
      <c r="Q39" s="224"/>
      <c r="R39" s="30"/>
      <c r="S39" s="87"/>
      <c r="T39" s="87"/>
      <c r="U39" s="87"/>
      <c r="V39" s="87"/>
      <c r="W39" s="30"/>
      <c r="Y39" s="31"/>
      <c r="Z39" s="31"/>
      <c r="AA39" s="30"/>
    </row>
    <row r="40" spans="1:27" ht="15.6" x14ac:dyDescent="0.3">
      <c r="A40" s="30"/>
      <c r="B40" s="30"/>
      <c r="C40" s="30"/>
      <c r="D40" s="30"/>
      <c r="E40" s="30"/>
      <c r="F40" s="30"/>
      <c r="G40" s="225" t="s">
        <v>332</v>
      </c>
      <c r="H40" s="225"/>
      <c r="I40" s="225"/>
      <c r="J40" s="225"/>
      <c r="K40" s="225"/>
      <c r="L40" s="225"/>
      <c r="M40" s="31"/>
      <c r="N40" s="88" t="s">
        <v>333</v>
      </c>
      <c r="O40" s="89"/>
      <c r="P40" s="88"/>
      <c r="Q40" s="89"/>
      <c r="R40" s="30"/>
      <c r="S40" s="226" t="s">
        <v>334</v>
      </c>
      <c r="T40" s="226"/>
      <c r="U40" s="226"/>
      <c r="V40" s="226"/>
      <c r="W40" s="31"/>
      <c r="X40" s="90" t="s">
        <v>335</v>
      </c>
      <c r="Y40" s="29"/>
      <c r="Z40" s="90"/>
      <c r="AA40" s="29"/>
    </row>
    <row r="45" spans="1:27" x14ac:dyDescent="0.3">
      <c r="N45" s="15"/>
    </row>
    <row r="46" spans="1:27" x14ac:dyDescent="0.3">
      <c r="N46" s="15"/>
    </row>
  </sheetData>
  <mergeCells count="45">
    <mergeCell ref="A33:K33"/>
    <mergeCell ref="G39:L39"/>
    <mergeCell ref="N39:Q39"/>
    <mergeCell ref="G40:L40"/>
    <mergeCell ref="S40:V40"/>
    <mergeCell ref="C29:E29"/>
    <mergeCell ref="Z29:AA29"/>
    <mergeCell ref="C30:E30"/>
    <mergeCell ref="C31:E31"/>
    <mergeCell ref="C32:E32"/>
    <mergeCell ref="Z32:AA32"/>
    <mergeCell ref="C26:E26"/>
    <mergeCell ref="Z26:AA26"/>
    <mergeCell ref="C27:E27"/>
    <mergeCell ref="Z27:AA27"/>
    <mergeCell ref="C28:E28"/>
    <mergeCell ref="Z28:AA28"/>
    <mergeCell ref="C25:E25"/>
    <mergeCell ref="Z25:AA25"/>
    <mergeCell ref="N20:O20"/>
    <mergeCell ref="P20:R20"/>
    <mergeCell ref="S20:S22"/>
    <mergeCell ref="T20:W20"/>
    <mergeCell ref="X20:X22"/>
    <mergeCell ref="Y20:Y22"/>
    <mergeCell ref="H20:H24"/>
    <mergeCell ref="I20:I24"/>
    <mergeCell ref="J20:J24"/>
    <mergeCell ref="K20:K24"/>
    <mergeCell ref="L20:L23"/>
    <mergeCell ref="M20:M23"/>
    <mergeCell ref="Z20:AA24"/>
    <mergeCell ref="T21:T22"/>
    <mergeCell ref="E11:F11"/>
    <mergeCell ref="E13:F13"/>
    <mergeCell ref="A14:Z14"/>
    <mergeCell ref="A15:Z15"/>
    <mergeCell ref="A16:Z16"/>
    <mergeCell ref="U21:U22"/>
    <mergeCell ref="V21:V22"/>
    <mergeCell ref="A20:A24"/>
    <mergeCell ref="B20:B24"/>
    <mergeCell ref="C20:E24"/>
    <mergeCell ref="F20:F24"/>
    <mergeCell ref="G20:G24"/>
  </mergeCells>
  <pageMargins left="0.70866141732283472" right="0.70866141732283472" top="0.74803149606299213" bottom="0.74803149606299213" header="0.31496062992125984" footer="0.31496062992125984"/>
  <pageSetup scale="40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378C-5197-46CB-9D92-F82C1A851ED9}">
  <dimension ref="A9:AF45"/>
  <sheetViews>
    <sheetView showGridLines="0" topLeftCell="A23" zoomScaleNormal="100" workbookViewId="0">
      <selection activeCell="AB30" sqref="AB30"/>
    </sheetView>
  </sheetViews>
  <sheetFormatPr baseColWidth="10" defaultRowHeight="14.4" x14ac:dyDescent="0.3"/>
  <cols>
    <col min="1" max="1" width="7" customWidth="1"/>
    <col min="2" max="2" width="14.109375" hidden="1" customWidth="1"/>
    <col min="4" max="4" width="10.109375" customWidth="1"/>
    <col min="5" max="5" width="8.5546875" customWidth="1"/>
    <col min="6" max="6" width="13.44140625" hidden="1" customWidth="1"/>
    <col min="7" max="7" width="14" hidden="1" customWidth="1"/>
    <col min="8" max="8" width="9.109375" hidden="1" customWidth="1"/>
    <col min="9" max="9" width="12.33203125" hidden="1" customWidth="1"/>
    <col min="10" max="10" width="13.88671875" hidden="1" customWidth="1"/>
    <col min="11" max="11" width="10.88671875" hidden="1" customWidth="1"/>
    <col min="12" max="12" width="13.44140625" hidden="1" customWidth="1"/>
    <col min="13" max="13" width="0" hidden="1" customWidth="1"/>
    <col min="14" max="15" width="9" hidden="1" customWidth="1"/>
    <col min="16" max="16" width="10.33203125" hidden="1" customWidth="1"/>
    <col min="17" max="17" width="9.33203125" hidden="1" customWidth="1"/>
    <col min="18" max="18" width="9.5546875" hidden="1" customWidth="1"/>
    <col min="19" max="20" width="15.109375" customWidth="1"/>
    <col min="21" max="24" width="0" hidden="1" customWidth="1"/>
    <col min="25" max="25" width="14.88671875" customWidth="1"/>
    <col min="26" max="28" width="16.5546875" customWidth="1"/>
  </cols>
  <sheetData>
    <row r="9" spans="1:28" ht="15.6" x14ac:dyDescent="0.3">
      <c r="A9" s="29" t="s">
        <v>276</v>
      </c>
      <c r="B9" s="30"/>
      <c r="C9" s="30"/>
      <c r="D9" s="30"/>
      <c r="E9" s="31"/>
      <c r="G9" s="31"/>
      <c r="H9" s="31"/>
      <c r="I9" s="31"/>
      <c r="J9" s="31"/>
      <c r="K9" s="32"/>
    </row>
    <row r="10" spans="1:28" ht="15.6" x14ac:dyDescent="0.3">
      <c r="A10" s="29" t="s">
        <v>277</v>
      </c>
      <c r="B10" s="30"/>
      <c r="C10" s="30"/>
      <c r="D10" s="30"/>
      <c r="E10" s="31"/>
      <c r="F10" s="31"/>
      <c r="G10" s="31"/>
      <c r="H10" s="31"/>
      <c r="I10" s="31"/>
      <c r="J10" s="31"/>
      <c r="K10" s="32"/>
    </row>
    <row r="11" spans="1:28" ht="15.6" x14ac:dyDescent="0.3">
      <c r="A11" s="29" t="s">
        <v>278</v>
      </c>
      <c r="E11" s="185"/>
      <c r="F11" s="185"/>
      <c r="H11" s="34"/>
    </row>
    <row r="12" spans="1:28" ht="15.6" x14ac:dyDescent="0.3">
      <c r="A12" s="29" t="s">
        <v>279</v>
      </c>
      <c r="E12" s="33"/>
      <c r="H12" s="34"/>
    </row>
    <row r="13" spans="1:28" ht="15.6" x14ac:dyDescent="0.3">
      <c r="A13" s="29" t="s">
        <v>280</v>
      </c>
      <c r="E13" s="185"/>
      <c r="F13" s="185"/>
      <c r="H13" s="34"/>
    </row>
    <row r="14" spans="1:28" ht="17.399999999999999" x14ac:dyDescent="0.3">
      <c r="A14" s="186" t="s">
        <v>336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</row>
    <row r="15" spans="1:28" ht="17.399999999999999" x14ac:dyDescent="0.3">
      <c r="A15" s="186" t="s">
        <v>282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35"/>
      <c r="AA15" s="35"/>
      <c r="AB15" s="35"/>
    </row>
    <row r="16" spans="1:28" ht="15.6" x14ac:dyDescent="0.3">
      <c r="A16" s="187" t="s">
        <v>283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36"/>
      <c r="AA16" s="36"/>
      <c r="AB16" s="36"/>
    </row>
    <row r="17" spans="1:32" ht="15.6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spans="1:32" ht="15.6" x14ac:dyDescent="0.3">
      <c r="A18" s="29" t="s">
        <v>339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32" ht="16.2" thickBot="1" x14ac:dyDescent="0.3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32" s="14" customFormat="1" ht="13.5" customHeight="1" thickBot="1" x14ac:dyDescent="0.35">
      <c r="A20" s="170" t="s">
        <v>284</v>
      </c>
      <c r="B20" s="173" t="s">
        <v>285</v>
      </c>
      <c r="C20" s="170" t="s">
        <v>286</v>
      </c>
      <c r="D20" s="176"/>
      <c r="E20" s="177"/>
      <c r="F20" s="176" t="s">
        <v>287</v>
      </c>
      <c r="G20" s="182" t="s">
        <v>288</v>
      </c>
      <c r="H20" s="182" t="s">
        <v>289</v>
      </c>
      <c r="I20" s="182" t="s">
        <v>290</v>
      </c>
      <c r="J20" s="182" t="s">
        <v>291</v>
      </c>
      <c r="K20" s="173" t="s">
        <v>292</v>
      </c>
      <c r="L20" s="182" t="s">
        <v>293</v>
      </c>
      <c r="M20" s="182" t="s">
        <v>25</v>
      </c>
      <c r="N20" s="193" t="s">
        <v>294</v>
      </c>
      <c r="O20" s="194"/>
      <c r="P20" s="176" t="s">
        <v>27</v>
      </c>
      <c r="Q20" s="176"/>
      <c r="R20" s="176"/>
      <c r="S20" s="182" t="s">
        <v>295</v>
      </c>
      <c r="T20" s="229" t="s">
        <v>300</v>
      </c>
      <c r="U20" s="229" t="s">
        <v>295</v>
      </c>
      <c r="V20" s="229" t="s">
        <v>295</v>
      </c>
      <c r="W20" s="229" t="s">
        <v>295</v>
      </c>
      <c r="X20" s="229" t="s">
        <v>297</v>
      </c>
      <c r="Y20" s="229" t="s">
        <v>337</v>
      </c>
      <c r="Z20" s="227" t="s">
        <v>338</v>
      </c>
      <c r="AA20" s="227" t="s">
        <v>148</v>
      </c>
      <c r="AB20" s="227" t="s">
        <v>261</v>
      </c>
    </row>
    <row r="21" spans="1:32" s="14" customFormat="1" ht="13.8" x14ac:dyDescent="0.3">
      <c r="A21" s="171"/>
      <c r="B21" s="174"/>
      <c r="C21" s="171"/>
      <c r="D21" s="178"/>
      <c r="E21" s="179"/>
      <c r="F21" s="178"/>
      <c r="G21" s="183"/>
      <c r="H21" s="169"/>
      <c r="I21" s="183"/>
      <c r="J21" s="196"/>
      <c r="K21" s="199"/>
      <c r="L21" s="183"/>
      <c r="M21" s="196"/>
      <c r="N21" s="39"/>
      <c r="O21" s="40"/>
      <c r="P21" s="38"/>
      <c r="Q21" s="38"/>
      <c r="R21" s="37"/>
      <c r="S21" s="183"/>
      <c r="T21" s="230"/>
      <c r="U21" s="230"/>
      <c r="V21" s="230"/>
      <c r="W21" s="230"/>
      <c r="X21" s="231"/>
      <c r="Y21" s="231"/>
      <c r="Z21" s="228"/>
      <c r="AA21" s="228"/>
      <c r="AB21" s="228"/>
    </row>
    <row r="22" spans="1:32" s="14" customFormat="1" ht="13.8" x14ac:dyDescent="0.3">
      <c r="A22" s="171"/>
      <c r="B22" s="174"/>
      <c r="C22" s="171"/>
      <c r="D22" s="178"/>
      <c r="E22" s="179"/>
      <c r="F22" s="178"/>
      <c r="G22" s="183"/>
      <c r="H22" s="169"/>
      <c r="I22" s="183"/>
      <c r="J22" s="196"/>
      <c r="K22" s="199"/>
      <c r="L22" s="183"/>
      <c r="M22" s="196"/>
      <c r="N22" s="42"/>
      <c r="O22" s="43" t="s">
        <v>303</v>
      </c>
      <c r="P22" s="42" t="s">
        <v>304</v>
      </c>
      <c r="Q22" s="42" t="s">
        <v>305</v>
      </c>
      <c r="R22" s="41" t="s">
        <v>306</v>
      </c>
      <c r="S22" s="183"/>
      <c r="T22" s="230"/>
      <c r="U22" s="230"/>
      <c r="V22" s="230"/>
      <c r="W22" s="230"/>
      <c r="X22" s="231"/>
      <c r="Y22" s="231"/>
      <c r="Z22" s="228"/>
      <c r="AA22" s="228"/>
      <c r="AB22" s="228"/>
    </row>
    <row r="23" spans="1:32" s="14" customFormat="1" thickBot="1" x14ac:dyDescent="0.35">
      <c r="A23" s="171"/>
      <c r="B23" s="174"/>
      <c r="C23" s="171"/>
      <c r="D23" s="178"/>
      <c r="E23" s="179"/>
      <c r="F23" s="178"/>
      <c r="G23" s="183"/>
      <c r="H23" s="169"/>
      <c r="I23" s="183"/>
      <c r="J23" s="196"/>
      <c r="K23" s="199"/>
      <c r="L23" s="183"/>
      <c r="M23" s="196"/>
      <c r="N23" s="42" t="s">
        <v>307</v>
      </c>
      <c r="O23" s="43" t="s">
        <v>308</v>
      </c>
      <c r="P23" s="42" t="s">
        <v>309</v>
      </c>
      <c r="Q23" s="42" t="s">
        <v>310</v>
      </c>
      <c r="R23" s="41" t="s">
        <v>27</v>
      </c>
      <c r="S23" s="43"/>
      <c r="T23" s="91">
        <v>6.7100000000000007E-2</v>
      </c>
      <c r="U23" s="92" t="s">
        <v>311</v>
      </c>
      <c r="V23" s="92" t="s">
        <v>311</v>
      </c>
      <c r="W23" s="92" t="s">
        <v>311</v>
      </c>
      <c r="X23" s="92" t="s">
        <v>314</v>
      </c>
      <c r="Y23" s="93">
        <v>0.1</v>
      </c>
      <c r="Z23" s="104">
        <f>1/12</f>
        <v>8.3333333333333329E-2</v>
      </c>
      <c r="AA23" s="104">
        <f t="shared" ref="AA23:AB23" si="0">1/12</f>
        <v>8.3333333333333329E-2</v>
      </c>
      <c r="AB23" s="104">
        <f t="shared" si="0"/>
        <v>8.3333333333333329E-2</v>
      </c>
    </row>
    <row r="24" spans="1:32" ht="15.6" x14ac:dyDescent="0.3">
      <c r="A24" s="52"/>
      <c r="B24" s="53"/>
      <c r="C24" s="188"/>
      <c r="D24" s="189"/>
      <c r="E24" s="190"/>
      <c r="F24" s="53"/>
      <c r="G24" s="53"/>
      <c r="H24" s="53"/>
      <c r="I24" s="53"/>
      <c r="J24" s="53"/>
      <c r="K24" s="54"/>
      <c r="L24" s="55"/>
      <c r="M24" s="55"/>
      <c r="N24" s="55"/>
      <c r="O24" s="55"/>
      <c r="P24" s="55"/>
      <c r="Q24" s="55"/>
      <c r="R24" s="55"/>
      <c r="S24" s="55"/>
      <c r="T24" s="94"/>
      <c r="U24" s="94"/>
      <c r="V24" s="95"/>
      <c r="W24" s="95"/>
      <c r="X24" s="95"/>
      <c r="Y24" s="95"/>
      <c r="Z24" s="96"/>
      <c r="AA24" s="96"/>
      <c r="AB24" s="96"/>
    </row>
    <row r="25" spans="1:32" ht="24.9" customHeight="1" x14ac:dyDescent="0.3">
      <c r="A25" s="57">
        <v>1</v>
      </c>
      <c r="B25" s="58"/>
      <c r="C25" s="207" t="s">
        <v>328</v>
      </c>
      <c r="D25" s="208"/>
      <c r="E25" s="209"/>
      <c r="F25" s="58"/>
      <c r="G25" s="59"/>
      <c r="H25" s="60"/>
      <c r="I25" s="61"/>
      <c r="J25" s="59"/>
      <c r="K25" s="60">
        <v>31</v>
      </c>
      <c r="L25" s="62">
        <v>16000</v>
      </c>
      <c r="M25" s="63">
        <v>0</v>
      </c>
      <c r="N25" s="62"/>
      <c r="O25" s="62"/>
      <c r="P25" s="62"/>
      <c r="Q25" s="62"/>
      <c r="R25" s="62"/>
      <c r="S25" s="63">
        <v>25000</v>
      </c>
      <c r="T25" s="97">
        <f>S25*T23</f>
        <v>1677.5000000000002</v>
      </c>
      <c r="U25" s="97"/>
      <c r="V25" s="97"/>
      <c r="W25" s="97"/>
      <c r="X25" s="97"/>
      <c r="Y25" s="97">
        <f>S25*Y23</f>
        <v>2500</v>
      </c>
      <c r="Z25" s="98">
        <f>S25/12</f>
        <v>2083.3333333333335</v>
      </c>
      <c r="AA25" s="98">
        <f>+Z25</f>
        <v>2083.3333333333335</v>
      </c>
      <c r="AB25" s="98">
        <f>+AA25</f>
        <v>2083.3333333333335</v>
      </c>
    </row>
    <row r="26" spans="1:32" ht="24.9" customHeight="1" x14ac:dyDescent="0.3">
      <c r="A26" s="66"/>
      <c r="B26" s="67"/>
      <c r="C26" s="212"/>
      <c r="D26" s="213"/>
      <c r="E26" s="214"/>
      <c r="F26" s="58"/>
      <c r="G26" s="68"/>
      <c r="H26" s="69"/>
      <c r="I26" s="70"/>
      <c r="J26" s="68"/>
      <c r="K26" s="69"/>
      <c r="L26" s="71"/>
      <c r="M26" s="63"/>
      <c r="N26" s="71"/>
      <c r="O26" s="71"/>
      <c r="P26" s="71"/>
      <c r="Q26" s="71"/>
      <c r="R26" s="71"/>
      <c r="S26" s="63"/>
      <c r="T26" s="97"/>
      <c r="U26" s="97"/>
      <c r="V26" s="97"/>
      <c r="W26" s="97"/>
      <c r="X26" s="97"/>
      <c r="Y26" s="97"/>
      <c r="Z26" s="98"/>
      <c r="AA26" s="98"/>
      <c r="AB26" s="98"/>
    </row>
    <row r="27" spans="1:32" ht="24.9" hidden="1" customHeight="1" x14ac:dyDescent="0.3">
      <c r="A27" s="66"/>
      <c r="B27" s="67"/>
      <c r="C27" s="212"/>
      <c r="D27" s="213"/>
      <c r="E27" s="214"/>
      <c r="F27" s="58"/>
      <c r="G27" s="68"/>
      <c r="H27" s="69"/>
      <c r="I27" s="70"/>
      <c r="J27" s="68"/>
      <c r="K27" s="69"/>
      <c r="L27" s="71"/>
      <c r="M27" s="63"/>
      <c r="N27" s="71"/>
      <c r="O27" s="71"/>
      <c r="P27" s="71"/>
      <c r="Q27" s="71"/>
      <c r="R27" s="71"/>
      <c r="S27" s="63"/>
      <c r="T27" s="97"/>
      <c r="U27" s="97"/>
      <c r="V27" s="97"/>
      <c r="W27" s="97"/>
      <c r="X27" s="97"/>
      <c r="Y27" s="97"/>
      <c r="Z27" s="98"/>
      <c r="AA27" s="98"/>
      <c r="AB27" s="98"/>
    </row>
    <row r="28" spans="1:32" ht="24.9" hidden="1" customHeight="1" x14ac:dyDescent="0.3">
      <c r="A28" s="66"/>
      <c r="B28" s="67"/>
      <c r="C28" s="212"/>
      <c r="D28" s="213"/>
      <c r="E28" s="214"/>
      <c r="F28" s="58"/>
      <c r="G28" s="68"/>
      <c r="H28" s="69"/>
      <c r="I28" s="70"/>
      <c r="J28" s="68"/>
      <c r="K28" s="69"/>
      <c r="L28" s="71"/>
      <c r="M28" s="63"/>
      <c r="N28" s="71"/>
      <c r="O28" s="71"/>
      <c r="P28" s="71"/>
      <c r="Q28" s="71"/>
      <c r="R28" s="71"/>
      <c r="S28" s="63"/>
      <c r="T28" s="97"/>
      <c r="U28" s="97"/>
      <c r="V28" s="97"/>
      <c r="W28" s="97"/>
      <c r="X28" s="97"/>
      <c r="Y28" s="97"/>
      <c r="Z28" s="98"/>
      <c r="AA28" s="98"/>
      <c r="AB28" s="98"/>
      <c r="AF28" s="72"/>
    </row>
    <row r="29" spans="1:32" ht="24.9" hidden="1" customHeight="1" x14ac:dyDescent="0.3">
      <c r="A29" s="66"/>
      <c r="B29" s="67"/>
      <c r="C29" s="212"/>
      <c r="D29" s="213"/>
      <c r="E29" s="214"/>
      <c r="F29" s="58"/>
      <c r="G29" s="68"/>
      <c r="H29" s="69"/>
      <c r="I29" s="70"/>
      <c r="J29" s="68"/>
      <c r="K29" s="69"/>
      <c r="L29" s="71"/>
      <c r="M29" s="63"/>
      <c r="N29" s="71"/>
      <c r="O29" s="71"/>
      <c r="P29" s="71"/>
      <c r="Q29" s="71"/>
      <c r="R29" s="71"/>
      <c r="S29" s="63"/>
      <c r="T29" s="97"/>
      <c r="U29" s="97"/>
      <c r="V29" s="97"/>
      <c r="W29" s="97"/>
      <c r="X29" s="97"/>
      <c r="Y29" s="97"/>
      <c r="Z29" s="98"/>
      <c r="AA29" s="98"/>
      <c r="AB29" s="98"/>
      <c r="AE29" s="15"/>
    </row>
    <row r="30" spans="1:32" ht="24.9" customHeight="1" x14ac:dyDescent="0.3">
      <c r="A30" s="66"/>
      <c r="B30" s="67"/>
      <c r="C30" s="212"/>
      <c r="D30" s="213"/>
      <c r="E30" s="214"/>
      <c r="F30" s="58"/>
      <c r="G30" s="68"/>
      <c r="H30" s="69"/>
      <c r="I30" s="70"/>
      <c r="J30" s="68"/>
      <c r="K30" s="69"/>
      <c r="L30" s="71"/>
      <c r="M30" s="63"/>
      <c r="N30" s="71"/>
      <c r="O30" s="71"/>
      <c r="P30" s="71"/>
      <c r="Q30" s="71"/>
      <c r="R30" s="71"/>
      <c r="S30" s="63"/>
      <c r="T30" s="97"/>
      <c r="U30" s="97"/>
      <c r="V30" s="97"/>
      <c r="W30" s="97"/>
      <c r="X30" s="97"/>
      <c r="Y30" s="97"/>
      <c r="Z30" s="98"/>
      <c r="AA30" s="98"/>
      <c r="AB30" s="98"/>
      <c r="AE30" s="15"/>
    </row>
    <row r="31" spans="1:32" ht="24.9" customHeight="1" thickBot="1" x14ac:dyDescent="0.35">
      <c r="A31" s="75"/>
      <c r="B31" s="76"/>
      <c r="C31" s="217"/>
      <c r="D31" s="218"/>
      <c r="E31" s="219"/>
      <c r="F31" s="76"/>
      <c r="G31" s="76"/>
      <c r="H31" s="76"/>
      <c r="I31" s="76"/>
      <c r="J31" s="76"/>
      <c r="K31" s="77"/>
      <c r="L31" s="78"/>
      <c r="M31" s="78"/>
      <c r="N31" s="78"/>
      <c r="O31" s="78"/>
      <c r="P31" s="78"/>
      <c r="Q31" s="78"/>
      <c r="R31" s="78"/>
      <c r="S31" s="63"/>
      <c r="T31" s="99"/>
      <c r="U31" s="99"/>
      <c r="V31" s="100"/>
      <c r="W31" s="100"/>
      <c r="X31" s="100"/>
      <c r="Y31" s="100"/>
      <c r="Z31" s="101"/>
      <c r="AA31" s="101"/>
      <c r="AB31" s="101"/>
    </row>
    <row r="32" spans="1:32" ht="24.9" customHeight="1" thickBot="1" x14ac:dyDescent="0.35">
      <c r="A32" s="222" t="s">
        <v>329</v>
      </c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79">
        <f>SUM(L25:L31)</f>
        <v>16000</v>
      </c>
      <c r="M32" s="79">
        <f>SUM(M25:M31)</f>
        <v>0</v>
      </c>
      <c r="N32" s="79">
        <v>0</v>
      </c>
      <c r="O32" s="79">
        <v>0</v>
      </c>
      <c r="P32" s="79">
        <f>SUM(P25:P31)</f>
        <v>0</v>
      </c>
      <c r="Q32" s="79">
        <v>0</v>
      </c>
      <c r="R32" s="79">
        <v>0</v>
      </c>
      <c r="S32" s="80">
        <f>SUM(S25:S31)</f>
        <v>25000</v>
      </c>
      <c r="T32" s="102">
        <f t="shared" ref="T32:AB32" si="1">SUM(T25:T31)</f>
        <v>1677.5000000000002</v>
      </c>
      <c r="U32" s="102">
        <f t="shared" si="1"/>
        <v>0</v>
      </c>
      <c r="V32" s="102">
        <f t="shared" si="1"/>
        <v>0</v>
      </c>
      <c r="W32" s="102">
        <f t="shared" si="1"/>
        <v>0</v>
      </c>
      <c r="X32" s="102">
        <f t="shared" si="1"/>
        <v>0</v>
      </c>
      <c r="Y32" s="102">
        <f t="shared" si="1"/>
        <v>2500</v>
      </c>
      <c r="Z32" s="103">
        <f t="shared" si="1"/>
        <v>2083.3333333333335</v>
      </c>
      <c r="AA32" s="103">
        <f t="shared" si="1"/>
        <v>2083.3333333333335</v>
      </c>
      <c r="AB32" s="103">
        <f t="shared" si="1"/>
        <v>2083.3333333333335</v>
      </c>
    </row>
    <row r="33" spans="1:28" ht="15.6" x14ac:dyDescent="0.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</row>
    <row r="34" spans="1:28" ht="15.6" x14ac:dyDescent="0.3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N34" s="30"/>
      <c r="O34" s="30"/>
      <c r="P34" s="30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</row>
    <row r="35" spans="1:28" ht="15.6" x14ac:dyDescent="0.3">
      <c r="A35" s="82"/>
      <c r="B35" s="82"/>
      <c r="C35" s="82"/>
      <c r="D35" s="82"/>
      <c r="E35" s="82"/>
      <c r="F35" s="82"/>
      <c r="G35" s="82"/>
      <c r="H35" s="82"/>
      <c r="I35" s="82"/>
      <c r="K35" s="82"/>
      <c r="M35" s="84"/>
      <c r="N35" s="30"/>
      <c r="O35" s="30"/>
      <c r="P35" s="30"/>
      <c r="Q35" s="83"/>
      <c r="R35" s="83"/>
      <c r="S35" s="83"/>
      <c r="T35" s="85"/>
      <c r="U35" s="83"/>
      <c r="V35" s="83"/>
      <c r="W35" s="83"/>
      <c r="X35" s="83"/>
      <c r="Y35" s="83"/>
      <c r="Z35" s="83"/>
      <c r="AA35" s="83"/>
      <c r="AB35" s="83"/>
    </row>
    <row r="36" spans="1:28" ht="15.6" x14ac:dyDescent="0.3">
      <c r="A36" s="82"/>
      <c r="B36" s="82"/>
      <c r="C36" s="82"/>
      <c r="D36" s="82"/>
      <c r="E36" s="82"/>
      <c r="F36" s="82"/>
      <c r="G36" s="82"/>
      <c r="H36" s="82"/>
      <c r="J36" s="82"/>
      <c r="L36" s="82"/>
      <c r="N36" s="30"/>
      <c r="O36" s="30"/>
      <c r="P36" s="30"/>
      <c r="R36" s="83"/>
      <c r="S36" s="83"/>
      <c r="T36" s="84"/>
      <c r="U36" s="84"/>
      <c r="V36" s="83"/>
      <c r="W36" s="83"/>
      <c r="X36" s="83"/>
    </row>
    <row r="37" spans="1:28" ht="15.6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86"/>
      <c r="T37" s="30"/>
      <c r="U37" s="30"/>
      <c r="V37" s="29"/>
      <c r="W37" s="83"/>
      <c r="X37" s="83"/>
      <c r="Y37" s="31"/>
      <c r="Z37" s="31"/>
      <c r="AA37" s="31"/>
      <c r="AB37" s="31"/>
    </row>
    <row r="38" spans="1:28" ht="15.6" x14ac:dyDescent="0.3">
      <c r="A38" s="30"/>
      <c r="B38" s="30"/>
      <c r="C38" s="30"/>
      <c r="D38" s="30"/>
      <c r="E38" s="30"/>
      <c r="F38" s="30"/>
      <c r="G38" s="224" t="s">
        <v>330</v>
      </c>
      <c r="H38" s="224"/>
      <c r="I38" s="224"/>
      <c r="J38" s="224"/>
      <c r="K38" s="224"/>
      <c r="L38" s="224"/>
      <c r="M38" s="31"/>
      <c r="N38" s="224" t="s">
        <v>331</v>
      </c>
      <c r="O38" s="224"/>
      <c r="P38" s="224"/>
      <c r="Q38" s="224"/>
      <c r="R38" s="30"/>
      <c r="S38" s="87"/>
      <c r="T38" s="87"/>
      <c r="U38" s="87"/>
      <c r="V38" s="87"/>
      <c r="W38" s="30"/>
      <c r="Y38" s="31"/>
      <c r="Z38" s="31"/>
      <c r="AA38" s="31"/>
      <c r="AB38" s="31"/>
    </row>
    <row r="39" spans="1:28" ht="15.6" x14ac:dyDescent="0.3">
      <c r="A39" s="30"/>
      <c r="B39" s="30"/>
      <c r="C39" s="30"/>
      <c r="D39" s="30"/>
      <c r="E39" s="30"/>
      <c r="F39" s="30"/>
      <c r="G39" s="225" t="s">
        <v>332</v>
      </c>
      <c r="H39" s="225"/>
      <c r="I39" s="225"/>
      <c r="J39" s="225"/>
      <c r="K39" s="225"/>
      <c r="L39" s="225"/>
      <c r="M39" s="31"/>
      <c r="N39" s="88" t="s">
        <v>333</v>
      </c>
      <c r="O39" s="89"/>
      <c r="P39" s="88"/>
      <c r="Q39" s="89"/>
      <c r="R39" s="30"/>
      <c r="S39" s="226" t="s">
        <v>334</v>
      </c>
      <c r="T39" s="226"/>
      <c r="U39" s="226"/>
      <c r="V39" s="226"/>
      <c r="W39" s="31"/>
      <c r="X39" s="90" t="s">
        <v>335</v>
      </c>
      <c r="Y39" s="29"/>
      <c r="Z39" s="29"/>
      <c r="AA39" s="29"/>
      <c r="AB39" s="29"/>
    </row>
    <row r="44" spans="1:28" x14ac:dyDescent="0.3">
      <c r="N44" s="15"/>
    </row>
    <row r="45" spans="1:28" x14ac:dyDescent="0.3">
      <c r="N45" s="15"/>
    </row>
  </sheetData>
  <mergeCells count="41">
    <mergeCell ref="S39:V39"/>
    <mergeCell ref="C30:E30"/>
    <mergeCell ref="C31:E31"/>
    <mergeCell ref="A32:K32"/>
    <mergeCell ref="G38:L38"/>
    <mergeCell ref="N38:Q38"/>
    <mergeCell ref="G39:L39"/>
    <mergeCell ref="C29:E29"/>
    <mergeCell ref="W20:W22"/>
    <mergeCell ref="X20:X22"/>
    <mergeCell ref="Y20:Y22"/>
    <mergeCell ref="Z20:Z22"/>
    <mergeCell ref="H20:H23"/>
    <mergeCell ref="I20:I23"/>
    <mergeCell ref="J20:J23"/>
    <mergeCell ref="K20:K23"/>
    <mergeCell ref="L20:L23"/>
    <mergeCell ref="M20:M23"/>
    <mergeCell ref="C24:E24"/>
    <mergeCell ref="C25:E25"/>
    <mergeCell ref="C26:E26"/>
    <mergeCell ref="C27:E27"/>
    <mergeCell ref="C28:E28"/>
    <mergeCell ref="AA20:AA22"/>
    <mergeCell ref="AB20:AB22"/>
    <mergeCell ref="N20:O20"/>
    <mergeCell ref="P20:R20"/>
    <mergeCell ref="S20:S22"/>
    <mergeCell ref="T20:T22"/>
    <mergeCell ref="U20:U22"/>
    <mergeCell ref="V20:V22"/>
    <mergeCell ref="E11:F11"/>
    <mergeCell ref="E13:F13"/>
    <mergeCell ref="A14:AB14"/>
    <mergeCell ref="A15:Y15"/>
    <mergeCell ref="A16:Y16"/>
    <mergeCell ref="A20:A23"/>
    <mergeCell ref="B20:B23"/>
    <mergeCell ref="C20:E23"/>
    <mergeCell ref="F20:F23"/>
    <mergeCell ref="G20:G23"/>
  </mergeCells>
  <pageMargins left="0.70866141732283472" right="0.70866141732283472" top="0.74803149606299213" bottom="0.74803149606299213" header="0.31496062992125984" footer="0.31496062992125984"/>
  <pageSetup scale="40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45C5-22E2-4D95-971A-AAA0C49F9800}">
  <dimension ref="A1:D37"/>
  <sheetViews>
    <sheetView showGridLines="0" topLeftCell="A4" zoomScaleNormal="100" workbookViewId="0">
      <selection activeCell="D32" sqref="D32"/>
    </sheetView>
  </sheetViews>
  <sheetFormatPr baseColWidth="10" defaultRowHeight="14.4" x14ac:dyDescent="0.3"/>
  <cols>
    <col min="1" max="1" width="3.109375" customWidth="1"/>
    <col min="2" max="2" width="35.44140625" customWidth="1"/>
    <col min="3" max="4" width="11.44140625" style="15"/>
  </cols>
  <sheetData>
    <row r="1" spans="1:4" x14ac:dyDescent="0.3">
      <c r="A1" s="120" t="str">
        <f>+'HOJA DE TRABAJO'!A1</f>
        <v>EMPRESA: LOS PRINCOS LTDA</v>
      </c>
    </row>
    <row r="2" spans="1:4" ht="2.25" customHeight="1" x14ac:dyDescent="0.3"/>
    <row r="3" spans="1:4" x14ac:dyDescent="0.3">
      <c r="A3" s="158" t="s">
        <v>380</v>
      </c>
      <c r="B3" s="158"/>
      <c r="C3" s="158"/>
      <c r="D3" s="158"/>
    </row>
    <row r="4" spans="1:4" x14ac:dyDescent="0.3">
      <c r="A4" s="158" t="s">
        <v>386</v>
      </c>
      <c r="B4" s="158"/>
      <c r="C4" s="158"/>
      <c r="D4" s="158"/>
    </row>
    <row r="5" spans="1:4" x14ac:dyDescent="0.3">
      <c r="A5" s="158" t="s">
        <v>249</v>
      </c>
      <c r="B5" s="158"/>
      <c r="C5" s="158"/>
      <c r="D5" s="158"/>
    </row>
    <row r="6" spans="1:4" ht="6" customHeight="1" x14ac:dyDescent="0.3"/>
    <row r="7" spans="1:4" s="3" customFormat="1" x14ac:dyDescent="0.3">
      <c r="A7" s="3" t="s">
        <v>387</v>
      </c>
      <c r="C7" s="17"/>
      <c r="D7" s="17" t="e">
        <f>SUM(C8:C10)</f>
        <v>#VALUE!</v>
      </c>
    </row>
    <row r="8" spans="1:4" x14ac:dyDescent="0.3">
      <c r="B8" t="s">
        <v>388</v>
      </c>
      <c r="C8" s="15">
        <v>4176</v>
      </c>
    </row>
    <row r="9" spans="1:4" x14ac:dyDescent="0.3">
      <c r="A9" t="s">
        <v>391</v>
      </c>
      <c r="B9" t="s">
        <v>389</v>
      </c>
      <c r="C9" s="15" t="e">
        <f>-'HOJA DE TRABAJO'!H20</f>
        <v>#VALUE!</v>
      </c>
    </row>
    <row r="10" spans="1:4" x14ac:dyDescent="0.3">
      <c r="A10" t="s">
        <v>391</v>
      </c>
      <c r="B10" t="s">
        <v>390</v>
      </c>
      <c r="C10" s="18">
        <v>0</v>
      </c>
    </row>
    <row r="11" spans="1:4" ht="6.75" customHeight="1" x14ac:dyDescent="0.3"/>
    <row r="12" spans="1:4" s="3" customFormat="1" x14ac:dyDescent="0.3">
      <c r="A12" s="3" t="s">
        <v>136</v>
      </c>
      <c r="C12" s="17"/>
      <c r="D12" s="17">
        <v>0</v>
      </c>
    </row>
    <row r="13" spans="1:4" x14ac:dyDescent="0.3">
      <c r="B13" t="s">
        <v>392</v>
      </c>
      <c r="C13" s="18">
        <v>0</v>
      </c>
    </row>
    <row r="14" spans="1:4" ht="3.75" customHeight="1" x14ac:dyDescent="0.3">
      <c r="D14" s="18"/>
    </row>
    <row r="15" spans="1:4" s="118" customFormat="1" x14ac:dyDescent="0.3">
      <c r="B15" s="118" t="s">
        <v>393</v>
      </c>
      <c r="C15" s="119"/>
      <c r="D15" s="121" t="e">
        <f>+D7-D12</f>
        <v>#VALUE!</v>
      </c>
    </row>
    <row r="16" spans="1:4" ht="7.5" customHeight="1" x14ac:dyDescent="0.3">
      <c r="D16" s="17"/>
    </row>
    <row r="17" spans="1:4" x14ac:dyDescent="0.3">
      <c r="A17" s="3" t="s">
        <v>142</v>
      </c>
      <c r="D17" s="17">
        <f>SUM(C18:C25)</f>
        <v>33611.29</v>
      </c>
    </row>
    <row r="18" spans="1:4" x14ac:dyDescent="0.3">
      <c r="B18" s="15" t="str">
        <f>+'HOJA DE TRABAJO'!B13</f>
        <v>DOCUMENTOS POR PAGAR</v>
      </c>
      <c r="C18" s="15">
        <v>3045</v>
      </c>
      <c r="D18" s="17"/>
    </row>
    <row r="19" spans="1:4" x14ac:dyDescent="0.3">
      <c r="B19" s="15" t="str">
        <f>+'HOJA DE TRABAJO'!B16</f>
        <v xml:space="preserve">DOCUMEN. POR COBRAR </v>
      </c>
      <c r="C19" s="15">
        <v>144</v>
      </c>
      <c r="D19" s="17"/>
    </row>
    <row r="20" spans="1:4" x14ac:dyDescent="0.3">
      <c r="B20" s="15" t="str">
        <f>+'HOJA DE TRABAJO'!B22</f>
        <v>SUELDOS Y SALARIOS</v>
      </c>
      <c r="C20" s="15">
        <v>25000</v>
      </c>
      <c r="D20" s="17"/>
    </row>
    <row r="21" spans="1:4" x14ac:dyDescent="0.3">
      <c r="B21" s="15" t="str">
        <f>+'HOJA DE TRABAJO'!B24</f>
        <v xml:space="preserve">APORTES PATRO. GESTORA </v>
      </c>
      <c r="C21" s="15">
        <f>+'HOJA DE TRABAJO'!H24</f>
        <v>872.3</v>
      </c>
      <c r="D21" s="17"/>
    </row>
    <row r="22" spans="1:4" x14ac:dyDescent="0.3">
      <c r="B22" s="15" t="str">
        <f>+'HOJA DE TRABAJO'!B25</f>
        <v>CAJA DE SALUD</v>
      </c>
      <c r="C22" s="15">
        <f>+'HOJA DE TRABAJO'!H25</f>
        <v>1300</v>
      </c>
      <c r="D22" s="17"/>
    </row>
    <row r="23" spans="1:4" x14ac:dyDescent="0.3">
      <c r="B23" s="15" t="str">
        <f>+'HOJA DE TRABAJO'!B26</f>
        <v>AGUINALDOS</v>
      </c>
      <c r="C23" s="15">
        <f>+'HOJA DE TRABAJO'!H26</f>
        <v>1083.33</v>
      </c>
      <c r="D23" s="17"/>
    </row>
    <row r="24" spans="1:4" x14ac:dyDescent="0.3">
      <c r="B24" s="15" t="str">
        <f>+'HOJA DE TRABAJO'!B27</f>
        <v>INDEMNIZACION</v>
      </c>
      <c r="C24" s="15">
        <f>+'HOJA DE TRABAJO'!H27</f>
        <v>1083.33</v>
      </c>
      <c r="D24" s="17"/>
    </row>
    <row r="25" spans="1:4" x14ac:dyDescent="0.3">
      <c r="B25" s="15" t="str">
        <f>+'HOJA DE TRABAJO'!B28</f>
        <v>PRIMAS</v>
      </c>
      <c r="C25" s="18">
        <f>+'HOJA DE TRABAJO'!H28</f>
        <v>1083.33</v>
      </c>
      <c r="D25" s="17"/>
    </row>
    <row r="26" spans="1:4" ht="5.25" customHeight="1" x14ac:dyDescent="0.3">
      <c r="D26" s="122"/>
    </row>
    <row r="27" spans="1:4" x14ac:dyDescent="0.3">
      <c r="B27" s="27" t="s">
        <v>394</v>
      </c>
      <c r="D27" s="17" t="e">
        <f>+D17-D15</f>
        <v>#VALUE!</v>
      </c>
    </row>
    <row r="28" spans="1:4" ht="6.75" customHeight="1" x14ac:dyDescent="0.3">
      <c r="D28" s="17"/>
    </row>
    <row r="29" spans="1:4" s="3" customFormat="1" x14ac:dyDescent="0.3">
      <c r="A29" s="3" t="s">
        <v>395</v>
      </c>
      <c r="B29" s="3" t="s">
        <v>129</v>
      </c>
      <c r="C29" s="17"/>
      <c r="D29" s="17">
        <v>522</v>
      </c>
    </row>
    <row r="30" spans="1:4" x14ac:dyDescent="0.3">
      <c r="B30" s="15" t="str">
        <f>+'HOJA DE TRABAJO'!B34</f>
        <v>SAGUAPAC</v>
      </c>
      <c r="C30" s="18">
        <v>522</v>
      </c>
    </row>
    <row r="31" spans="1:4" ht="7.5" customHeight="1" x14ac:dyDescent="0.3"/>
    <row r="32" spans="1:4" ht="15" thickBot="1" x14ac:dyDescent="0.35">
      <c r="B32" s="27" t="s">
        <v>396</v>
      </c>
      <c r="D32" s="124" t="e">
        <f>+D27-D29</f>
        <v>#VALUE!</v>
      </c>
    </row>
    <row r="33" spans="2:3" ht="15" thickTop="1" x14ac:dyDescent="0.3"/>
    <row r="37" spans="2:3" x14ac:dyDescent="0.3">
      <c r="B37" s="3" t="s">
        <v>401</v>
      </c>
      <c r="C37" s="17" t="s">
        <v>402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4C8E-1A17-40DA-BA3D-7472F9D80535}">
  <dimension ref="A1:D44"/>
  <sheetViews>
    <sheetView showGridLines="0" zoomScale="70" zoomScaleNormal="70" workbookViewId="0">
      <selection activeCell="K15" sqref="K15"/>
    </sheetView>
  </sheetViews>
  <sheetFormatPr baseColWidth="10" defaultRowHeight="14.4" x14ac:dyDescent="0.3"/>
  <cols>
    <col min="1" max="1" width="2" customWidth="1"/>
    <col min="2" max="2" width="47.5546875" customWidth="1"/>
    <col min="3" max="3" width="13" style="15" customWidth="1"/>
    <col min="4" max="4" width="15.88671875" style="15" customWidth="1"/>
  </cols>
  <sheetData>
    <row r="1" spans="1:4" x14ac:dyDescent="0.3">
      <c r="A1" s="120" t="str">
        <f>+'HOJA DE TRABAJO'!A1</f>
        <v>EMPRESA: LOS PRINCOS LTDA</v>
      </c>
    </row>
    <row r="2" spans="1:4" ht="2.25" customHeight="1" x14ac:dyDescent="0.3"/>
    <row r="3" spans="1:4" x14ac:dyDescent="0.3">
      <c r="A3" s="158" t="s">
        <v>381</v>
      </c>
      <c r="B3" s="158"/>
      <c r="C3" s="158"/>
      <c r="D3" s="158"/>
    </row>
    <row r="4" spans="1:4" x14ac:dyDescent="0.3">
      <c r="A4" s="158" t="s">
        <v>397</v>
      </c>
      <c r="B4" s="158"/>
      <c r="C4" s="158"/>
      <c r="D4" s="158"/>
    </row>
    <row r="5" spans="1:4" x14ac:dyDescent="0.3">
      <c r="A5" s="158" t="s">
        <v>249</v>
      </c>
      <c r="B5" s="158"/>
      <c r="C5" s="158"/>
      <c r="D5" s="158"/>
    </row>
    <row r="6" spans="1:4" ht="6" customHeight="1" x14ac:dyDescent="0.3"/>
    <row r="7" spans="1:4" s="3" customFormat="1" x14ac:dyDescent="0.3">
      <c r="A7" s="3" t="s">
        <v>0</v>
      </c>
      <c r="C7" s="17"/>
      <c r="D7" s="17"/>
    </row>
    <row r="8" spans="1:4" s="3" customFormat="1" x14ac:dyDescent="0.3">
      <c r="B8" s="3" t="s">
        <v>398</v>
      </c>
      <c r="C8" s="17"/>
      <c r="D8" s="17">
        <f>SUM(C9:C13)</f>
        <v>5500</v>
      </c>
    </row>
    <row r="9" spans="1:4" x14ac:dyDescent="0.3">
      <c r="B9" t="s">
        <v>360</v>
      </c>
      <c r="C9" s="15">
        <f>+'HOJA DE TRABAJO'!J8</f>
        <v>0</v>
      </c>
    </row>
    <row r="10" spans="1:4" x14ac:dyDescent="0.3">
      <c r="B10" s="15" t="str">
        <f>+'HOJA DE TRABAJO'!B9</f>
        <v>BANCO UNIÓN M/N</v>
      </c>
      <c r="C10" s="15">
        <f>+'HOJA DE TRABAJO'!J9</f>
        <v>5500</v>
      </c>
    </row>
    <row r="11" spans="1:4" x14ac:dyDescent="0.3">
      <c r="B11" s="15" t="str">
        <f>+'HOJA DE TRABAJO'!B14</f>
        <v>CUENTAS POR PAGAR</v>
      </c>
      <c r="C11" s="15" t="str">
        <f>+'HOJA DE TRABAJO'!J14</f>
        <v xml:space="preserve"> </v>
      </c>
    </row>
    <row r="12" spans="1:4" x14ac:dyDescent="0.3">
      <c r="B12" s="15" t="str">
        <f>+'HOJA DE TRABAJO'!B15</f>
        <v>CAPITAL SOCIAL</v>
      </c>
      <c r="C12" s="15" t="str">
        <f>+'HOJA DE TRABAJO'!J15</f>
        <v xml:space="preserve"> </v>
      </c>
    </row>
    <row r="13" spans="1:4" x14ac:dyDescent="0.3">
      <c r="B13" s="15" t="str">
        <f>+'HOJA DE TRABAJO'!B35</f>
        <v>DEVOLUCIONES SOBRE VENTAS</v>
      </c>
      <c r="C13" s="18">
        <f>+'HOJA DE TRABAJO'!J35</f>
        <v>0</v>
      </c>
    </row>
    <row r="15" spans="1:4" s="3" customFormat="1" x14ac:dyDescent="0.3">
      <c r="B15" s="3" t="s">
        <v>399</v>
      </c>
      <c r="C15" s="17"/>
      <c r="D15" s="17">
        <f>SUM(C16:C17)</f>
        <v>37535</v>
      </c>
    </row>
    <row r="16" spans="1:4" x14ac:dyDescent="0.3">
      <c r="B16" s="15" t="str">
        <f>+'HOJA DE TRABAJO'!B10</f>
        <v>INV. DE MERCADERIAS</v>
      </c>
      <c r="C16" s="15">
        <f>+'HOJA DE TRABAJO'!J10</f>
        <v>15535</v>
      </c>
    </row>
    <row r="17" spans="1:4" x14ac:dyDescent="0.3">
      <c r="B17" s="15" t="str">
        <f>+'HOJA DE TRABAJO'!B11</f>
        <v>VEHICULOS</v>
      </c>
      <c r="C17" s="18">
        <f>+'HOJA DE TRABAJO'!J11</f>
        <v>22000</v>
      </c>
    </row>
    <row r="18" spans="1:4" ht="9.75" customHeight="1" x14ac:dyDescent="0.3"/>
    <row r="19" spans="1:4" s="3" customFormat="1" ht="15" thickBot="1" x14ac:dyDescent="0.35">
      <c r="B19" s="27" t="s">
        <v>252</v>
      </c>
      <c r="C19" s="17"/>
      <c r="D19" s="123">
        <f>+D8+D15</f>
        <v>43035</v>
      </c>
    </row>
    <row r="20" spans="1:4" ht="9" customHeight="1" thickTop="1" x14ac:dyDescent="0.3"/>
    <row r="21" spans="1:4" s="3" customFormat="1" x14ac:dyDescent="0.3">
      <c r="A21" s="3" t="s">
        <v>11</v>
      </c>
      <c r="C21" s="17"/>
      <c r="D21" s="17"/>
    </row>
    <row r="22" spans="1:4" s="3" customFormat="1" x14ac:dyDescent="0.3">
      <c r="B22" s="3" t="s">
        <v>12</v>
      </c>
      <c r="C22" s="17"/>
      <c r="D22" s="17">
        <f>SUM(C23:C28)</f>
        <v>6135.26</v>
      </c>
    </row>
    <row r="23" spans="1:4" x14ac:dyDescent="0.3">
      <c r="B23" s="15" t="str">
        <f>+'HOJA DE TRABAJO'!B19</f>
        <v>DEBITO FISCAL</v>
      </c>
      <c r="C23" s="15">
        <v>144</v>
      </c>
    </row>
    <row r="24" spans="1:4" x14ac:dyDescent="0.3">
      <c r="B24" s="15" t="str">
        <f>+'HOJA DE TRABAJO'!B23</f>
        <v>APORTE LAB. GEST. POR PAGAR</v>
      </c>
      <c r="C24" s="15">
        <f>+'HOJA DE TRABAJO'!K23</f>
        <v>1652.3</v>
      </c>
    </row>
    <row r="25" spans="1:4" x14ac:dyDescent="0.3">
      <c r="B25" s="15" t="str">
        <f>+'HOJA DE TRABAJO'!B29</f>
        <v>APOR.PAT.GEST.POR PAGAR</v>
      </c>
      <c r="C25" s="15">
        <f>+'HOJA DE TRABAJO'!K29</f>
        <v>872.3</v>
      </c>
    </row>
    <row r="26" spans="1:4" x14ac:dyDescent="0.3">
      <c r="B26" s="15" t="str">
        <f>+'HOJA DE TRABAJO'!B30</f>
        <v>CAJA SALUD. POR PAGAR</v>
      </c>
      <c r="C26" s="15">
        <f>+'HOJA DE TRABAJO'!K30</f>
        <v>1300</v>
      </c>
    </row>
    <row r="27" spans="1:4" x14ac:dyDescent="0.3">
      <c r="B27" s="15" t="str">
        <f>+'HOJA DE TRABAJO'!B31</f>
        <v>AGUINALDO POR PAGAR</v>
      </c>
      <c r="C27" s="15">
        <f>+'HOJA DE TRABAJO'!K31</f>
        <v>1083.33</v>
      </c>
    </row>
    <row r="28" spans="1:4" x14ac:dyDescent="0.3">
      <c r="B28" s="15" t="str">
        <f>+'HOJA DE TRABAJO'!B33</f>
        <v>PRIMAS POR PAGAR</v>
      </c>
      <c r="C28" s="18">
        <f>+'HOJA DE TRABAJO'!K33</f>
        <v>1083.33</v>
      </c>
    </row>
    <row r="29" spans="1:4" x14ac:dyDescent="0.3">
      <c r="C29"/>
    </row>
    <row r="30" spans="1:4" s="3" customFormat="1" x14ac:dyDescent="0.3">
      <c r="B30" s="3" t="s">
        <v>112</v>
      </c>
      <c r="C30" s="17"/>
      <c r="D30" s="17">
        <f>+C31</f>
        <v>1083.33</v>
      </c>
    </row>
    <row r="31" spans="1:4" ht="15.75" customHeight="1" x14ac:dyDescent="0.3">
      <c r="B31" s="15" t="str">
        <f>+'HOJA DE TRABAJO'!B32</f>
        <v>PREVISION PARA INDEMNIZACION</v>
      </c>
      <c r="C31" s="18">
        <f>+'HOJA DE TRABAJO'!K32</f>
        <v>1083.33</v>
      </c>
    </row>
    <row r="32" spans="1:4" ht="7.5" customHeight="1" x14ac:dyDescent="0.3"/>
    <row r="33" spans="1:4" s="3" customFormat="1" x14ac:dyDescent="0.3">
      <c r="A33" s="3" t="s">
        <v>117</v>
      </c>
      <c r="C33" s="17"/>
      <c r="D33" s="17"/>
    </row>
    <row r="34" spans="1:4" s="3" customFormat="1" x14ac:dyDescent="0.3">
      <c r="B34" s="3" t="s">
        <v>400</v>
      </c>
      <c r="C34" s="17"/>
      <c r="D34" s="17" t="e">
        <f>+C36+C35</f>
        <v>#VALUE!</v>
      </c>
    </row>
    <row r="35" spans="1:4" s="3" customFormat="1" x14ac:dyDescent="0.3">
      <c r="B35" s="15" t="str">
        <f>+'HOJA DE TRABAJO'!B12</f>
        <v>EQUIPOS DE COMP.</v>
      </c>
      <c r="C35" s="15">
        <v>497000</v>
      </c>
      <c r="D35" s="17"/>
    </row>
    <row r="36" spans="1:4" x14ac:dyDescent="0.3">
      <c r="B36" t="s">
        <v>396</v>
      </c>
      <c r="C36" s="125" t="e">
        <f>-ER!D32</f>
        <v>#VALUE!</v>
      </c>
    </row>
    <row r="37" spans="1:4" s="3" customFormat="1" x14ac:dyDescent="0.3">
      <c r="C37" s="17"/>
      <c r="D37" s="17"/>
    </row>
    <row r="38" spans="1:4" ht="6" customHeight="1" x14ac:dyDescent="0.3"/>
    <row r="39" spans="1:4" ht="15" thickBot="1" x14ac:dyDescent="0.35">
      <c r="B39" s="27" t="s">
        <v>236</v>
      </c>
      <c r="D39" s="123" t="e">
        <f>+D22+D30+D34</f>
        <v>#VALUE!</v>
      </c>
    </row>
    <row r="40" spans="1:4" ht="15" thickTop="1" x14ac:dyDescent="0.3"/>
    <row r="44" spans="1:4" s="3" customFormat="1" x14ac:dyDescent="0.3">
      <c r="B44" s="3" t="s">
        <v>401</v>
      </c>
      <c r="C44" s="17"/>
      <c r="D44" s="17" t="s">
        <v>402</v>
      </c>
    </row>
  </sheetData>
  <mergeCells count="3"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Plan de cuentas</vt:lpstr>
      <vt:lpstr>Blce. Apertura</vt:lpstr>
      <vt:lpstr>Libro Diario 1</vt:lpstr>
      <vt:lpstr>Mayores</vt:lpstr>
      <vt:lpstr>BCSS</vt:lpstr>
      <vt:lpstr>HOJA DE TRABAJO</vt:lpstr>
      <vt:lpstr>FACTURA</vt:lpstr>
      <vt:lpstr>PLLA SUELDOS</vt:lpstr>
      <vt:lpstr>AP. Y BENEFICIOS</vt:lpstr>
      <vt:lpstr>ER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2023-12-15T00:53:49Z</dcterms:modified>
</cp:coreProperties>
</file>