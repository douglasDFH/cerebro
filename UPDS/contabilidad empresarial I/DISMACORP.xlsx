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tabilidad Empresarial I\proyecto formativo\"/>
    </mc:Choice>
  </mc:AlternateContent>
  <xr:revisionPtr revIDLastSave="0" documentId="13_ncr:1_{85B00318-63CF-4FC1-9B16-8B69E2B5AEC1}" xr6:coauthVersionLast="47" xr6:coauthVersionMax="47" xr10:uidLastSave="{00000000-0000-0000-0000-000000000000}"/>
  <bookViews>
    <workbookView xWindow="12375" yWindow="0" windowWidth="16530" windowHeight="15585" tabRatio="737" activeTab="7" xr2:uid="{00000000-000D-0000-FFFF-FFFF00000000}"/>
  </bookViews>
  <sheets>
    <sheet name="plan" sheetId="15" r:id="rId1"/>
    <sheet name="Blce. Apertura (2)" sheetId="19" r:id="rId2"/>
    <sheet name="Libro Diario 1" sheetId="6" r:id="rId3"/>
    <sheet name="Lista de Libros" sheetId="16" state="hidden" r:id="rId4"/>
    <sheet name="Mayores" sheetId="21" r:id="rId5"/>
    <sheet name="HOJA DE TRABAJO" sheetId="13" r:id="rId6"/>
    <sheet name="ER" sheetId="17" r:id="rId7"/>
    <sheet name="BG" sheetId="18" r:id="rId8"/>
    <sheet name="AP. Y BENEFICIOS" sheetId="22" state="hidden" r:id="rId9"/>
  </sheets>
  <definedNames>
    <definedName name="_xlnm._FilterDatabase" localSheetId="5" hidden="1">'HOJA DE TRABAJO'!$A$6:$K$42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8" l="1"/>
  <c r="B30" i="18" a="1"/>
  <c r="B30" i="18" s="1"/>
  <c r="B13" i="21"/>
  <c r="B12" i="21"/>
  <c r="D185" i="6"/>
  <c r="E18" i="13"/>
  <c r="D22" i="13"/>
  <c r="B24" i="17" a="1"/>
  <c r="B24" i="17" s="1"/>
  <c r="B20" i="17"/>
  <c r="B23" i="17"/>
  <c r="B22" i="17"/>
  <c r="B21" i="17"/>
  <c r="B19" i="17"/>
  <c r="C173" i="6"/>
  <c r="D178" i="6" s="1"/>
  <c r="N74" i="21" s="1"/>
  <c r="C172" i="6"/>
  <c r="C171" i="6"/>
  <c r="C92" i="6"/>
  <c r="A59" i="21" s="1"/>
  <c r="A68" i="21" s="1"/>
  <c r="A69" i="21" s="1"/>
  <c r="D26" i="13" s="1"/>
  <c r="K9" i="13"/>
  <c r="K10" i="13"/>
  <c r="K11" i="13"/>
  <c r="K12" i="13"/>
  <c r="K13" i="13"/>
  <c r="K17" i="13"/>
  <c r="K18" i="13"/>
  <c r="K19" i="13"/>
  <c r="K20" i="13"/>
  <c r="K21" i="13"/>
  <c r="K24" i="13"/>
  <c r="K25" i="13"/>
  <c r="K26" i="13"/>
  <c r="K28" i="13"/>
  <c r="K29" i="13"/>
  <c r="K30" i="13"/>
  <c r="K31" i="13"/>
  <c r="K32" i="13"/>
  <c r="K38" i="13"/>
  <c r="K39" i="13"/>
  <c r="K40" i="13"/>
  <c r="J14" i="13"/>
  <c r="J15" i="13"/>
  <c r="J16" i="13"/>
  <c r="J17" i="13"/>
  <c r="J20" i="13"/>
  <c r="J21" i="13"/>
  <c r="J22" i="13"/>
  <c r="J23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H9" i="13"/>
  <c r="H10" i="13"/>
  <c r="H11" i="13"/>
  <c r="H12" i="13"/>
  <c r="H13" i="13"/>
  <c r="H14" i="13"/>
  <c r="H15" i="13"/>
  <c r="H16" i="13"/>
  <c r="H18" i="13"/>
  <c r="H19" i="13"/>
  <c r="H21" i="13"/>
  <c r="H22" i="13"/>
  <c r="H23" i="13"/>
  <c r="H24" i="13"/>
  <c r="H25" i="13"/>
  <c r="H27" i="13"/>
  <c r="H33" i="13"/>
  <c r="H34" i="13"/>
  <c r="H35" i="13"/>
  <c r="H36" i="13"/>
  <c r="H37" i="13"/>
  <c r="E21" i="21"/>
  <c r="E20" i="21"/>
  <c r="E19" i="21"/>
  <c r="E18" i="21"/>
  <c r="Z23" i="22"/>
  <c r="AA23" i="22"/>
  <c r="AB23" i="22"/>
  <c r="T25" i="22"/>
  <c r="Y25" i="22"/>
  <c r="Z25" i="22"/>
  <c r="Z32" i="22" s="1"/>
  <c r="AA25" i="22"/>
  <c r="AA32" i="22" s="1"/>
  <c r="AB25" i="22"/>
  <c r="AB32" i="22" s="1"/>
  <c r="L32" i="22"/>
  <c r="M32" i="22"/>
  <c r="P32" i="22"/>
  <c r="S32" i="22"/>
  <c r="U32" i="22"/>
  <c r="V32" i="22"/>
  <c r="W32" i="22"/>
  <c r="X32" i="22"/>
  <c r="A4" i="21"/>
  <c r="G4" i="21"/>
  <c r="J4" i="21"/>
  <c r="M4" i="21"/>
  <c r="U4" i="21"/>
  <c r="A5" i="21"/>
  <c r="B5" i="21"/>
  <c r="G5" i="21"/>
  <c r="J5" i="21"/>
  <c r="J13" i="21" s="1"/>
  <c r="J14" i="21" s="1"/>
  <c r="D11" i="13" s="1"/>
  <c r="M5" i="21"/>
  <c r="M13" i="21" s="1"/>
  <c r="M14" i="21" s="1"/>
  <c r="D12" i="13" s="1"/>
  <c r="B6" i="21"/>
  <c r="E6" i="21"/>
  <c r="A7" i="21"/>
  <c r="B8" i="21"/>
  <c r="E8" i="21"/>
  <c r="E9" i="21"/>
  <c r="A10" i="21"/>
  <c r="B10" i="21"/>
  <c r="E10" i="21"/>
  <c r="D11" i="21"/>
  <c r="E11" i="21"/>
  <c r="H13" i="21"/>
  <c r="K13" i="21"/>
  <c r="N13" i="21"/>
  <c r="A17" i="21"/>
  <c r="D17" i="21"/>
  <c r="G17" i="21"/>
  <c r="J17" i="21"/>
  <c r="M17" i="21"/>
  <c r="A18" i="21"/>
  <c r="A27" i="21" s="1"/>
  <c r="A28" i="21" s="1"/>
  <c r="D13" i="13" s="1"/>
  <c r="G13" i="13" s="1"/>
  <c r="H18" i="21"/>
  <c r="H27" i="21" s="1"/>
  <c r="H28" i="21" s="1"/>
  <c r="E15" i="13" s="1"/>
  <c r="G15" i="13" s="1"/>
  <c r="K15" i="13" s="1"/>
  <c r="K18" i="21"/>
  <c r="K27" i="21" s="1"/>
  <c r="K28" i="21" s="1"/>
  <c r="E16" i="13" s="1"/>
  <c r="F16" i="13" s="1"/>
  <c r="A30" i="21"/>
  <c r="G30" i="21"/>
  <c r="J30" i="21"/>
  <c r="M30" i="21"/>
  <c r="H31" i="21"/>
  <c r="A32" i="21"/>
  <c r="A33" i="21"/>
  <c r="A45" i="21"/>
  <c r="D45" i="21"/>
  <c r="G45" i="21"/>
  <c r="J45" i="21"/>
  <c r="A58" i="21"/>
  <c r="D58" i="21"/>
  <c r="G58" i="21"/>
  <c r="J58" i="21"/>
  <c r="M58" i="21"/>
  <c r="M59" i="21"/>
  <c r="A72" i="21"/>
  <c r="D72" i="21"/>
  <c r="G72" i="21"/>
  <c r="J72" i="21"/>
  <c r="M72" i="21"/>
  <c r="A73" i="21"/>
  <c r="D73" i="21"/>
  <c r="E82" i="21"/>
  <c r="A86" i="21"/>
  <c r="D86" i="21"/>
  <c r="G86" i="21"/>
  <c r="J86" i="21"/>
  <c r="M86" i="21"/>
  <c r="M87" i="21"/>
  <c r="M96" i="21" s="1"/>
  <c r="M97" i="21" s="1"/>
  <c r="D40" i="13" s="1"/>
  <c r="F40" i="13" s="1"/>
  <c r="H40" i="13" s="1"/>
  <c r="A96" i="21"/>
  <c r="C28" i="18" l="1"/>
  <c r="F13" i="13"/>
  <c r="J13" i="13" s="1"/>
  <c r="G16" i="13"/>
  <c r="J60" i="21"/>
  <c r="E27" i="21"/>
  <c r="E28" i="21" s="1"/>
  <c r="E14" i="13" s="1"/>
  <c r="G14" i="13" s="1"/>
  <c r="C175" i="6"/>
  <c r="D180" i="6" s="1"/>
  <c r="E88" i="21" s="1"/>
  <c r="G12" i="13"/>
  <c r="F12" i="13"/>
  <c r="G11" i="13"/>
  <c r="F11" i="13"/>
  <c r="C13" i="18" s="1"/>
  <c r="F15" i="13"/>
  <c r="C20" i="17"/>
  <c r="G40" i="13"/>
  <c r="C174" i="6"/>
  <c r="F26" i="13"/>
  <c r="G26" i="13"/>
  <c r="T32" i="22"/>
  <c r="D176" i="6"/>
  <c r="H74" i="21" s="1"/>
  <c r="G60" i="21"/>
  <c r="Y32" i="22"/>
  <c r="D74" i="21"/>
  <c r="D82" i="21" s="1"/>
  <c r="D83" i="21" s="1"/>
  <c r="D32" i="13" s="1"/>
  <c r="M60" i="21"/>
  <c r="M68" i="21" s="1"/>
  <c r="M69" i="21" s="1"/>
  <c r="D30" i="13" s="1"/>
  <c r="D177" i="6"/>
  <c r="K74" i="21" s="1"/>
  <c r="K16" i="13" l="1"/>
  <c r="C38" i="18"/>
  <c r="K14" i="13"/>
  <c r="C27" i="18"/>
  <c r="C19" i="18"/>
  <c r="F14" i="13"/>
  <c r="J11" i="13"/>
  <c r="J12" i="13"/>
  <c r="C17" i="18"/>
  <c r="H26" i="13"/>
  <c r="C21" i="17"/>
  <c r="A74" i="21"/>
  <c r="A82" i="21" s="1"/>
  <c r="A83" i="21" s="1"/>
  <c r="D31" i="13" s="1"/>
  <c r="D179" i="6"/>
  <c r="B88" i="21" s="1"/>
  <c r="G32" i="13"/>
  <c r="F32" i="13"/>
  <c r="H32" i="13" s="1"/>
  <c r="G30" i="13"/>
  <c r="F30" i="13"/>
  <c r="H30" i="13" s="1"/>
  <c r="D168" i="6"/>
  <c r="E60" i="21" s="1"/>
  <c r="C162" i="6"/>
  <c r="A41" i="21" s="1"/>
  <c r="C161" i="6"/>
  <c r="J87" i="21" s="1"/>
  <c r="J96" i="21" s="1"/>
  <c r="J97" i="21" s="1"/>
  <c r="D39" i="13" s="1"/>
  <c r="D154" i="6"/>
  <c r="E53" i="21" s="1"/>
  <c r="D152" i="6"/>
  <c r="N38" i="21" s="1"/>
  <c r="D153" i="6"/>
  <c r="B53" i="21" s="1"/>
  <c r="G39" i="13" l="1"/>
  <c r="F39" i="13"/>
  <c r="G31" i="13"/>
  <c r="F31" i="13"/>
  <c r="H31" i="13" s="1"/>
  <c r="C150" i="6"/>
  <c r="J38" i="21" s="1"/>
  <c r="D167" i="6"/>
  <c r="B11" i="21" s="1"/>
  <c r="C142" i="6"/>
  <c r="G36" i="21" s="1"/>
  <c r="C141" i="6"/>
  <c r="D10" i="21" s="1"/>
  <c r="D146" i="6"/>
  <c r="E52" i="21" s="1"/>
  <c r="D145" i="6"/>
  <c r="B52" i="21" s="1"/>
  <c r="D144" i="6"/>
  <c r="N37" i="21" s="1"/>
  <c r="C137" i="6"/>
  <c r="A40" i="21" s="1"/>
  <c r="C136" i="6"/>
  <c r="G87" i="21" s="1"/>
  <c r="G96" i="21" s="1"/>
  <c r="G97" i="21" s="1"/>
  <c r="D38" i="13" s="1"/>
  <c r="C132" i="6"/>
  <c r="A9" i="21" s="1"/>
  <c r="C126" i="6"/>
  <c r="J36" i="21" s="1"/>
  <c r="C125" i="6"/>
  <c r="G35" i="21" s="1"/>
  <c r="C124" i="6"/>
  <c r="D9" i="21" s="1"/>
  <c r="D129" i="6"/>
  <c r="E51" i="21" s="1"/>
  <c r="D128" i="6"/>
  <c r="B51" i="21" s="1"/>
  <c r="D127" i="6"/>
  <c r="N36" i="21" s="1"/>
  <c r="C118" i="6"/>
  <c r="J35" i="21" s="1"/>
  <c r="C117" i="6"/>
  <c r="G34" i="21" s="1"/>
  <c r="C116" i="6"/>
  <c r="D8" i="21" s="1"/>
  <c r="H39" i="13" l="1"/>
  <c r="C23" i="17"/>
  <c r="G38" i="13"/>
  <c r="F38" i="13"/>
  <c r="D133" i="6"/>
  <c r="H32" i="21" s="1"/>
  <c r="H42" i="21" s="1"/>
  <c r="E19" i="13" s="1"/>
  <c r="C143" i="6"/>
  <c r="J37" i="21" s="1"/>
  <c r="D121" i="6"/>
  <c r="E50" i="21" s="1"/>
  <c r="D120" i="6"/>
  <c r="B50" i="21" s="1"/>
  <c r="D119" i="6"/>
  <c r="N35" i="21" s="1"/>
  <c r="C22" i="17" l="1"/>
  <c r="H38" i="13"/>
  <c r="D7" i="19"/>
  <c r="D13" i="19"/>
  <c r="D20" i="19"/>
  <c r="D23" i="19"/>
  <c r="D17" i="19" l="1"/>
  <c r="D26" i="19" s="1"/>
  <c r="D28" i="19" s="1"/>
  <c r="C110" i="6"/>
  <c r="J34" i="21" s="1"/>
  <c r="D112" i="6"/>
  <c r="B49" i="21" s="1"/>
  <c r="D111" i="6"/>
  <c r="N34" i="21" s="1"/>
  <c r="D105" i="6"/>
  <c r="B87" i="21" s="1"/>
  <c r="B97" i="21" s="1"/>
  <c r="D106" i="6"/>
  <c r="E87" i="21" s="1"/>
  <c r="E96" i="21" s="1"/>
  <c r="E97" i="21" s="1"/>
  <c r="E37" i="13" s="1"/>
  <c r="D104" i="6"/>
  <c r="N73" i="21" s="1"/>
  <c r="N82" i="21" s="1"/>
  <c r="N83" i="21" s="1"/>
  <c r="E35" i="13" s="1"/>
  <c r="C98" i="6"/>
  <c r="J59" i="21" s="1"/>
  <c r="J68" i="21" s="1"/>
  <c r="J69" i="21" s="1"/>
  <c r="D29" i="13" s="1"/>
  <c r="C97" i="6"/>
  <c r="D94" i="6"/>
  <c r="G37" i="13" l="1"/>
  <c r="K37" i="13" s="1"/>
  <c r="F37" i="13"/>
  <c r="G35" i="13"/>
  <c r="K35" i="13" s="1"/>
  <c r="F35" i="13"/>
  <c r="G29" i="13"/>
  <c r="F29" i="13"/>
  <c r="H29" i="13" s="1"/>
  <c r="E59" i="21"/>
  <c r="E68" i="21" s="1"/>
  <c r="E69" i="21" s="1"/>
  <c r="E27" i="13" s="1"/>
  <c r="D93" i="6"/>
  <c r="B9" i="21" s="1"/>
  <c r="G59" i="21"/>
  <c r="G68" i="21" s="1"/>
  <c r="G69" i="21" s="1"/>
  <c r="D28" i="13" s="1"/>
  <c r="E36" i="13"/>
  <c r="B96" i="21"/>
  <c r="D102" i="6"/>
  <c r="H73" i="21" s="1"/>
  <c r="H82" i="21" s="1"/>
  <c r="H83" i="21" s="1"/>
  <c r="E33" i="13" s="1"/>
  <c r="D103" i="6"/>
  <c r="K73" i="21" s="1"/>
  <c r="K82" i="21" s="1"/>
  <c r="K83" i="21" s="1"/>
  <c r="E34" i="13" s="1"/>
  <c r="D113" i="6"/>
  <c r="E49" i="21" s="1"/>
  <c r="C87" i="6"/>
  <c r="J46" i="21" s="1"/>
  <c r="J55" i="21" s="1"/>
  <c r="J56" i="21" s="1"/>
  <c r="D25" i="13" s="1"/>
  <c r="C88" i="6"/>
  <c r="A39" i="21" s="1"/>
  <c r="C79" i="6"/>
  <c r="A38" i="21" s="1"/>
  <c r="C78" i="6"/>
  <c r="G10" i="21" s="1"/>
  <c r="C74" i="6"/>
  <c r="A37" i="21" s="1"/>
  <c r="C73" i="6"/>
  <c r="C68" i="6"/>
  <c r="G9" i="21" s="1"/>
  <c r="C69" i="6"/>
  <c r="A36" i="21" s="1"/>
  <c r="D65" i="6"/>
  <c r="E48" i="21" s="1"/>
  <c r="D64" i="6"/>
  <c r="B48" i="21" s="1"/>
  <c r="D63" i="6"/>
  <c r="N33" i="21" s="1"/>
  <c r="C62" i="6"/>
  <c r="J33" i="21" s="1"/>
  <c r="C61" i="6"/>
  <c r="G33" i="21" s="1"/>
  <c r="C60" i="6"/>
  <c r="D7" i="21" s="1"/>
  <c r="C54" i="6"/>
  <c r="J32" i="21" s="1"/>
  <c r="C53" i="6"/>
  <c r="G32" i="21" s="1"/>
  <c r="C52" i="6"/>
  <c r="A6" i="21" s="1"/>
  <c r="A13" i="21" s="1"/>
  <c r="D57" i="6"/>
  <c r="E47" i="21" s="1"/>
  <c r="E55" i="21" s="1"/>
  <c r="E56" i="21" s="1"/>
  <c r="E23" i="13" s="1"/>
  <c r="D55" i="6"/>
  <c r="N32" i="21" s="1"/>
  <c r="D56" i="6"/>
  <c r="B47" i="21" s="1"/>
  <c r="C46" i="6"/>
  <c r="G8" i="21" s="1"/>
  <c r="C47" i="6"/>
  <c r="A35" i="21" s="1"/>
  <c r="D48" i="6"/>
  <c r="B7" i="21" s="1"/>
  <c r="D49" i="6"/>
  <c r="E7" i="21" s="1"/>
  <c r="E13" i="21" s="1"/>
  <c r="E9" i="13" s="1"/>
  <c r="C42" i="6"/>
  <c r="A34" i="21" s="1"/>
  <c r="C41" i="6"/>
  <c r="G46" i="21" s="1"/>
  <c r="G55" i="21" s="1"/>
  <c r="G56" i="21" s="1"/>
  <c r="D24" i="13" s="1"/>
  <c r="D36" i="6"/>
  <c r="N31" i="21" s="1"/>
  <c r="C34" i="6"/>
  <c r="G31" i="21" s="1"/>
  <c r="C35" i="6"/>
  <c r="J31" i="21" s="1"/>
  <c r="C33" i="6"/>
  <c r="D6" i="21" s="1"/>
  <c r="D13" i="21" s="1"/>
  <c r="D38" i="6"/>
  <c r="E46" i="21" s="1"/>
  <c r="D37" i="6"/>
  <c r="B46" i="21" s="1"/>
  <c r="C27" i="6"/>
  <c r="G7" i="21" s="1"/>
  <c r="C21" i="6"/>
  <c r="G6" i="21" s="1"/>
  <c r="G13" i="21" s="1"/>
  <c r="G14" i="21" s="1"/>
  <c r="D10" i="13" s="1"/>
  <c r="F10" i="13" l="1"/>
  <c r="G10" i="13"/>
  <c r="F24" i="13"/>
  <c r="G24" i="13"/>
  <c r="G23" i="13"/>
  <c r="F23" i="13"/>
  <c r="G25" i="13"/>
  <c r="F25" i="13"/>
  <c r="N42" i="21"/>
  <c r="N43" i="21" s="1"/>
  <c r="E21" i="13" s="1"/>
  <c r="F36" i="13"/>
  <c r="G36" i="13"/>
  <c r="K36" i="13" s="1"/>
  <c r="E8" i="13"/>
  <c r="F27" i="13"/>
  <c r="G27" i="13"/>
  <c r="F34" i="13"/>
  <c r="G34" i="13"/>
  <c r="K34" i="13" s="1"/>
  <c r="G33" i="13"/>
  <c r="F33" i="13"/>
  <c r="F28" i="13"/>
  <c r="G28" i="13"/>
  <c r="D14" i="21"/>
  <c r="D9" i="13"/>
  <c r="F9" i="13" s="1"/>
  <c r="D8" i="13"/>
  <c r="A14" i="21"/>
  <c r="G42" i="21"/>
  <c r="B55" i="21"/>
  <c r="B56" i="21" s="1"/>
  <c r="E22" i="13" s="1"/>
  <c r="J39" i="21"/>
  <c r="J40" i="21" s="1"/>
  <c r="D20" i="13" s="1"/>
  <c r="C16" i="6"/>
  <c r="M18" i="21" s="1"/>
  <c r="M27" i="21" s="1"/>
  <c r="M28" i="21" s="1"/>
  <c r="D17" i="13" s="1"/>
  <c r="C17" i="6"/>
  <c r="A31" i="21" s="1"/>
  <c r="J24" i="13" l="1"/>
  <c r="C20" i="18"/>
  <c r="K27" i="13"/>
  <c r="C29" i="18"/>
  <c r="K33" i="13"/>
  <c r="C30" i="18" a="1"/>
  <c r="C30" i="18" s="1"/>
  <c r="K23" i="13"/>
  <c r="C26" i="18"/>
  <c r="J25" i="13"/>
  <c r="C18" i="18"/>
  <c r="D16" i="18" s="1"/>
  <c r="F21" i="13"/>
  <c r="G21" i="13"/>
  <c r="I21" i="13" s="1"/>
  <c r="G17" i="13"/>
  <c r="F17" i="13"/>
  <c r="G20" i="13"/>
  <c r="F20" i="13"/>
  <c r="C9" i="18"/>
  <c r="J9" i="13"/>
  <c r="G22" i="13"/>
  <c r="K22" i="13" s="1"/>
  <c r="F22" i="13"/>
  <c r="A42" i="21"/>
  <c r="A43" i="21" s="1"/>
  <c r="D18" i="13" s="1"/>
  <c r="G9" i="13"/>
  <c r="C11" i="18"/>
  <c r="J10" i="13"/>
  <c r="H28" i="13"/>
  <c r="C24" i="17" a="1"/>
  <c r="D19" i="13"/>
  <c r="G43" i="21"/>
  <c r="E39" i="13"/>
  <c r="D25" i="18" l="1"/>
  <c r="C8" i="17"/>
  <c r="F18" i="13"/>
  <c r="J18" i="13" s="1"/>
  <c r="G18" i="13"/>
  <c r="H17" i="13"/>
  <c r="C19" i="17"/>
  <c r="F19" i="13"/>
  <c r="G19" i="13"/>
  <c r="H20" i="13"/>
  <c r="C18" i="17"/>
  <c r="C24" i="17"/>
  <c r="K8" i="13"/>
  <c r="K41" i="13" s="1"/>
  <c r="I8" i="13"/>
  <c r="I41" i="13" s="1"/>
  <c r="H8" i="13"/>
  <c r="D17" i="17" l="1"/>
  <c r="H41" i="13"/>
  <c r="J19" i="13"/>
  <c r="C12" i="18"/>
  <c r="D37" i="13"/>
  <c r="D35" i="13"/>
  <c r="D34" i="13"/>
  <c r="A1" i="16" l="1"/>
  <c r="B2" i="16"/>
  <c r="C2" i="16"/>
  <c r="B3" i="16"/>
  <c r="C3" i="16"/>
  <c r="B4" i="16"/>
  <c r="C4" i="16"/>
  <c r="B5" i="16"/>
  <c r="C5" i="16"/>
  <c r="B6" i="16"/>
  <c r="C6" i="16"/>
  <c r="B7" i="16"/>
  <c r="C7" i="16"/>
  <c r="B8" i="16"/>
  <c r="C8" i="16"/>
  <c r="B9" i="16"/>
  <c r="B10" i="16"/>
  <c r="C10" i="16"/>
  <c r="B11" i="16"/>
  <c r="C11" i="16"/>
  <c r="B12" i="16"/>
  <c r="C12" i="16"/>
  <c r="C13" i="16"/>
  <c r="B14" i="16"/>
  <c r="B15" i="16"/>
  <c r="B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C23" i="16"/>
  <c r="C24" i="16"/>
  <c r="B25" i="16"/>
  <c r="C25" i="16"/>
  <c r="B26" i="16"/>
  <c r="C26" i="16"/>
  <c r="B27" i="16"/>
  <c r="C27" i="16"/>
  <c r="C28" i="16"/>
  <c r="C29" i="16"/>
  <c r="C30" i="16"/>
  <c r="B31" i="16"/>
  <c r="B32" i="16"/>
  <c r="B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C50" i="16"/>
  <c r="C51" i="16"/>
  <c r="B52" i="16"/>
  <c r="C52" i="16"/>
  <c r="B53" i="16"/>
  <c r="C53" i="16"/>
  <c r="B1" i="16"/>
  <c r="C1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C54" i="16"/>
  <c r="B54" i="16"/>
  <c r="B51" i="16"/>
  <c r="D33" i="13"/>
  <c r="C32" i="16"/>
  <c r="C31" i="16"/>
  <c r="C33" i="16"/>
  <c r="G5" i="16" l="1"/>
  <c r="E38" i="13"/>
  <c r="G6" i="16"/>
  <c r="G17" i="16"/>
  <c r="G7" i="16"/>
  <c r="G11" i="16"/>
  <c r="G15" i="16"/>
  <c r="G16" i="16"/>
  <c r="B24" i="16"/>
  <c r="B30" i="16"/>
  <c r="B50" i="16"/>
  <c r="B28" i="16"/>
  <c r="F10" i="16" s="1"/>
  <c r="F12" i="16"/>
  <c r="F7" i="16"/>
  <c r="G8" i="16"/>
  <c r="G4" i="16"/>
  <c r="C15" i="16"/>
  <c r="G13" i="16" s="1"/>
  <c r="F15" i="16"/>
  <c r="F6" i="16"/>
  <c r="F2" i="16"/>
  <c r="G3" i="16"/>
  <c r="B41" i="16"/>
  <c r="F4" i="16" s="1"/>
  <c r="B29" i="16"/>
  <c r="F16" i="16" s="1"/>
  <c r="B23" i="16"/>
  <c r="F3" i="16" s="1"/>
  <c r="F8" i="16"/>
  <c r="B13" i="16"/>
  <c r="F11" i="16" s="1"/>
  <c r="F18" i="16"/>
  <c r="F14" i="16"/>
  <c r="F5" i="16"/>
  <c r="G18" i="16"/>
  <c r="G10" i="16"/>
  <c r="D7" i="17"/>
  <c r="D15" i="17" s="1"/>
  <c r="D31" i="17" s="1"/>
  <c r="G2" i="16"/>
  <c r="C16" i="16"/>
  <c r="G14" i="16" s="1"/>
  <c r="C14" i="16"/>
  <c r="G12" i="16" s="1"/>
  <c r="F17" i="16"/>
  <c r="F13" i="16"/>
  <c r="F9" i="16"/>
  <c r="H43" i="13" l="1"/>
  <c r="C9" i="16"/>
  <c r="G9" i="16" s="1"/>
  <c r="G8" i="13"/>
  <c r="F8" i="13"/>
  <c r="C10" i="18" s="1"/>
  <c r="D41" i="13"/>
  <c r="D34" i="17"/>
  <c r="C39" i="18" s="1"/>
  <c r="D37" i="18" s="1"/>
  <c r="D8" i="18" l="1"/>
  <c r="D22" i="18" s="1"/>
  <c r="E41" i="13"/>
  <c r="D44" i="13" s="1"/>
  <c r="J8" i="13"/>
  <c r="J41" i="13" s="1"/>
  <c r="F41" i="13"/>
  <c r="G41" i="13"/>
  <c r="I42" i="13"/>
  <c r="I43" i="13" s="1"/>
  <c r="D42" i="18" l="1"/>
  <c r="K43" i="13"/>
  <c r="J42" i="13"/>
  <c r="J43" i="1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<sst xmlns="http://schemas.openxmlformats.org/spreadsheetml/2006/main" count="1239" uniqueCount="740">
  <si>
    <t>ACTIVO</t>
  </si>
  <si>
    <t>PASIVO</t>
  </si>
  <si>
    <t>PASIVO CORRIENTE</t>
  </si>
  <si>
    <t>CAPITAL SOCIAL</t>
  </si>
  <si>
    <t>INGRESOS</t>
  </si>
  <si>
    <t>MUEBLES Y ENSERES</t>
  </si>
  <si>
    <t>PASIVO NO CORRIENTE</t>
  </si>
  <si>
    <t>PATRIMONIO</t>
  </si>
  <si>
    <t>GASTOS</t>
  </si>
  <si>
    <t>TOTAL PASIVO Y PATRIMONIO</t>
  </si>
  <si>
    <t>FECHA</t>
  </si>
  <si>
    <t>DETALLE</t>
  </si>
  <si>
    <t>DEBE</t>
  </si>
  <si>
    <t>HABER</t>
  </si>
  <si>
    <t>VENTAS</t>
  </si>
  <si>
    <t>DEBITO FISCAL</t>
  </si>
  <si>
    <t>CUENTAS POR COBRAR</t>
  </si>
  <si>
    <t>LIBRO DIARIO (COMPROBANTES)</t>
  </si>
  <si>
    <t>BALANCE DE APERTURA</t>
  </si>
  <si>
    <t>(Expresado en bolivianos)</t>
  </si>
  <si>
    <t>INVENTARIO DE MERCADERIAS</t>
  </si>
  <si>
    <t>TOTAL ACTIVO</t>
  </si>
  <si>
    <t>BANCO GANADERO M/N</t>
  </si>
  <si>
    <t>PRIMAS POR PAGAR</t>
  </si>
  <si>
    <t>CAJA M/N</t>
  </si>
  <si>
    <t>CREDITO FISCAL</t>
  </si>
  <si>
    <t>NRO</t>
  </si>
  <si>
    <t>CUENTAS</t>
  </si>
  <si>
    <t>TIPO</t>
  </si>
  <si>
    <t>SUMAS</t>
  </si>
  <si>
    <t>SALDOS</t>
  </si>
  <si>
    <t>DEUDOR</t>
  </si>
  <si>
    <t>ACREEDOR</t>
  </si>
  <si>
    <t>EXPRESADO EN BOLIVIANOS</t>
  </si>
  <si>
    <t>HOJA DE TRABAJO PARA LA PREPARACIÓN DE LOS ESTADOS FINANCIEROS</t>
  </si>
  <si>
    <t>ESTADO DE RESULTADOS</t>
  </si>
  <si>
    <t>BALANCE GENERAL</t>
  </si>
  <si>
    <t>ACTIVOS</t>
  </si>
  <si>
    <t>PAS/PAT</t>
  </si>
  <si>
    <t>EGRE/COSTO</t>
  </si>
  <si>
    <t>ACTIVO CORRIENTE</t>
  </si>
  <si>
    <t>ACTIVO NO CORRIENTE</t>
  </si>
  <si>
    <t>Inventario de Mercaderia</t>
  </si>
  <si>
    <t>Documentos por Pagar</t>
  </si>
  <si>
    <t>Capital Social</t>
  </si>
  <si>
    <t>DOCUMENTOS POR PAGAR</t>
  </si>
  <si>
    <t>IMPUESTO A LAS TRANSACCIONES</t>
  </si>
  <si>
    <t>DOCUMENTOS POR COBRAR</t>
  </si>
  <si>
    <t>|</t>
  </si>
  <si>
    <t>Banco Ganadero M/N</t>
  </si>
  <si>
    <t xml:space="preserve">            GASTOS DE REPRESENTACION</t>
  </si>
  <si>
    <t>6-3-01-01-001</t>
  </si>
  <si>
    <t/>
  </si>
  <si>
    <t xml:space="preserve">         GASTOS DE MARQUETING</t>
  </si>
  <si>
    <t>6-3-01-01-000</t>
  </si>
  <si>
    <t xml:space="preserve">      OTROS GASTOS</t>
  </si>
  <si>
    <t>6-3-01-00-000</t>
  </si>
  <si>
    <t xml:space="preserve">   GASTOS VARIOS</t>
  </si>
  <si>
    <t>6-3-00-00-000</t>
  </si>
  <si>
    <t xml:space="preserve">            PRIMICIA PAGADA</t>
  </si>
  <si>
    <t>6-2-01-02-001</t>
  </si>
  <si>
    <t xml:space="preserve">         PRIMICIA</t>
  </si>
  <si>
    <t>6-2-01-02-000</t>
  </si>
  <si>
    <t xml:space="preserve">            DIFERENCIAS POR REDONDEO</t>
  </si>
  <si>
    <t>6-2-01-01-004</t>
  </si>
  <si>
    <t xml:space="preserve">            AJUSTE POR DIFERENCIA DE CAMBIO</t>
  </si>
  <si>
    <t>6-2-01-01-003</t>
  </si>
  <si>
    <t xml:space="preserve">            CORRECCION MONETARIA</t>
  </si>
  <si>
    <t>6-2-01-01-002</t>
  </si>
  <si>
    <t xml:space="preserve">            AJUSTE POR INFLACION Y TENENCIA DE B.</t>
  </si>
  <si>
    <t>6-2-01-01-001</t>
  </si>
  <si>
    <t xml:space="preserve">         AJUSTES P/DIF. CAMBIARIA</t>
  </si>
  <si>
    <t>6-2-01-01-000</t>
  </si>
  <si>
    <t xml:space="preserve">      AJUSTES MONETARIOS</t>
  </si>
  <si>
    <t>6-2-01-00-000</t>
  </si>
  <si>
    <t xml:space="preserve">   GASTOS NO OPERATIVOS</t>
  </si>
  <si>
    <t>6-2-00-00-000</t>
  </si>
  <si>
    <t xml:space="preserve">            MANTTO VEHICULO</t>
  </si>
  <si>
    <t>6-1-03-01-004</t>
  </si>
  <si>
    <t xml:space="preserve">            MANTTO EQUIPOS DE OFICINA</t>
  </si>
  <si>
    <t>6-1-03-01-003</t>
  </si>
  <si>
    <t xml:space="preserve">            MANTTO MOBILIARIO</t>
  </si>
  <si>
    <t>6-1-03-01-002</t>
  </si>
  <si>
    <t xml:space="preserve">            MANTTO INFRAESTRUCTURA</t>
  </si>
  <si>
    <t>6-1-03-01-001</t>
  </si>
  <si>
    <t xml:space="preserve">         MANTENIMIENTO DE ACTIVOS</t>
  </si>
  <si>
    <t>6-1-03-01-000</t>
  </si>
  <si>
    <t xml:space="preserve">      GASTOS DE MANTENIMIENTO</t>
  </si>
  <si>
    <t>6-1-03-00-000</t>
  </si>
  <si>
    <t xml:space="preserve">            SERVICIO DE TV POR CABLE</t>
  </si>
  <si>
    <t>6-1-02-03-014</t>
  </si>
  <si>
    <t xml:space="preserve">            PEAJES</t>
  </si>
  <si>
    <t>6-1-02-03-013</t>
  </si>
  <si>
    <t xml:space="preserve">            HOSPEDAJE Y ALOJAMIENTO</t>
  </si>
  <si>
    <t>6-1-02-03-012</t>
  </si>
  <si>
    <t xml:space="preserve">            FLETES Y TRANSPORTES</t>
  </si>
  <si>
    <t>6-1-02-03-011</t>
  </si>
  <si>
    <t xml:space="preserve">            REFRIGERIO Y ALIMENTACION NO DEDUCIBLE</t>
  </si>
  <si>
    <t>6-1-02-03-010</t>
  </si>
  <si>
    <t xml:space="preserve">            INTERNET</t>
  </si>
  <si>
    <t>6-1-02-03-009</t>
  </si>
  <si>
    <t xml:space="preserve">            TELEFONOS CELULARES</t>
  </si>
  <si>
    <t>6-1-02-03-008</t>
  </si>
  <si>
    <t xml:space="preserve">            GASTOS VARIOS</t>
  </si>
  <si>
    <t>6-1-02-03-007</t>
  </si>
  <si>
    <t xml:space="preserve">            TARJETAS TELEFONOS</t>
  </si>
  <si>
    <t>6-1-02-03-006</t>
  </si>
  <si>
    <t xml:space="preserve">            ASEO Y LIMPIEZA</t>
  </si>
  <si>
    <t>6-1-02-03-005</t>
  </si>
  <si>
    <t xml:space="preserve">            MERCADERIA</t>
  </si>
  <si>
    <t>6-1-02-03-004</t>
  </si>
  <si>
    <t xml:space="preserve">            TRANSPORTE</t>
  </si>
  <si>
    <t>6-1-02-03-003</t>
  </si>
  <si>
    <t xml:space="preserve">            MATERIAL DE ESCRITORIO</t>
  </si>
  <si>
    <t>6-1-02-03-002</t>
  </si>
  <si>
    <t xml:space="preserve">            REFRIGERIO Y ALIMENTACION DEL PERSONAL</t>
  </si>
  <si>
    <t>6-1-02-03-001</t>
  </si>
  <si>
    <t xml:space="preserve">         GASTOS DE OFICINA</t>
  </si>
  <si>
    <t>6-1-02-03-000</t>
  </si>
  <si>
    <t xml:space="preserve">            PARTICIPACIONES Y EVENTOS</t>
  </si>
  <si>
    <t>6-1-02-02-004</t>
  </si>
  <si>
    <t xml:space="preserve">            AVISOS EN PERIODICOS</t>
  </si>
  <si>
    <t>6-1-02-02-003</t>
  </si>
  <si>
    <t xml:space="preserve">            PUBLICIDAD EN PERIODICOS Y REVISTAS</t>
  </si>
  <si>
    <t>6-1-02-02-002</t>
  </si>
  <si>
    <t xml:space="preserve">            PUBLICIDAD EN RADIO Y T.V.</t>
  </si>
  <si>
    <t>6-1-02-02-001</t>
  </si>
  <si>
    <t xml:space="preserve">         PUBLICIDAD</t>
  </si>
  <si>
    <t>6-1-02-02-000</t>
  </si>
  <si>
    <t xml:space="preserve">            PASAJES Y VIATICOS</t>
  </si>
  <si>
    <t>6-1-02-01-004</t>
  </si>
  <si>
    <t xml:space="preserve">            CARGAS PATRONALES</t>
  </si>
  <si>
    <t>6-1-02-01-003</t>
  </si>
  <si>
    <t xml:space="preserve">            CARGAS SOCIALES</t>
  </si>
  <si>
    <t>6-1-02-01-002</t>
  </si>
  <si>
    <t xml:space="preserve">            SUELDOS Y SALARIOS</t>
  </si>
  <si>
    <t>6-1-02-01-001</t>
  </si>
  <si>
    <t xml:space="preserve">         GASTOS DEL PERSONAL</t>
  </si>
  <si>
    <t>6-1-02-01-000</t>
  </si>
  <si>
    <t xml:space="preserve">      GASTOS COMERCIALES</t>
  </si>
  <si>
    <t>6-1-02-00-000</t>
  </si>
  <si>
    <t xml:space="preserve">            EQUIPOS MENORES</t>
  </si>
  <si>
    <t>6-1-01-04-030</t>
  </si>
  <si>
    <t xml:space="preserve">            ALQUILER DE MOBILIARIO Y OTROS</t>
  </si>
  <si>
    <t>6-1-01-04-029</t>
  </si>
  <si>
    <t xml:space="preserve">            ALQUILER GARAGE Y ANTENA</t>
  </si>
  <si>
    <t>6-1-01-04-028</t>
  </si>
  <si>
    <t xml:space="preserve">            COMUNICACIONES</t>
  </si>
  <si>
    <t>6-1-01-04-027</t>
  </si>
  <si>
    <t xml:space="preserve">            INSUMOS Y MATERIALES VARIOS</t>
  </si>
  <si>
    <t>6-1-01-04-026</t>
  </si>
  <si>
    <t xml:space="preserve">            REPUESTOS Y ACCESORIOS</t>
  </si>
  <si>
    <t>6-1-01-04-025</t>
  </si>
  <si>
    <t xml:space="preserve">            GASTOS DE ORGANIZACION PAGADOS</t>
  </si>
  <si>
    <t>6-1-01-04-024</t>
  </si>
  <si>
    <t xml:space="preserve">            TELEFONIA FIJA</t>
  </si>
  <si>
    <t>6-1-01-04-023</t>
  </si>
  <si>
    <t xml:space="preserve">            PUBLICIDAD</t>
  </si>
  <si>
    <t>6-1-01-04-022</t>
  </si>
  <si>
    <t xml:space="preserve">            INSTALACION DE LAMPARAS</t>
  </si>
  <si>
    <t>6-1-01-04-021</t>
  </si>
  <si>
    <t xml:space="preserve">            MATERIAL DE FERRETERIA</t>
  </si>
  <si>
    <t>6-1-01-04-020</t>
  </si>
  <si>
    <t xml:space="preserve">            GASTOS DE IMPRENTA</t>
  </si>
  <si>
    <t>6-1-01-04-019</t>
  </si>
  <si>
    <t xml:space="preserve">            FOTOCOPIAS</t>
  </si>
  <si>
    <t>6-1-01-04-018</t>
  </si>
  <si>
    <t>6-1-01-04-017</t>
  </si>
  <si>
    <t xml:space="preserve">            DONACIONES</t>
  </si>
  <si>
    <t>6-1-01-04-016</t>
  </si>
  <si>
    <t xml:space="preserve">            SEGUROS</t>
  </si>
  <si>
    <t>6-1-01-04-015</t>
  </si>
  <si>
    <t>6-1-01-04-014</t>
  </si>
  <si>
    <t xml:space="preserve">            DEPRECIACION DE ACTIVOS FIJOS</t>
  </si>
  <si>
    <t>6-1-01-04-013</t>
  </si>
  <si>
    <t xml:space="preserve">            COURRIER</t>
  </si>
  <si>
    <t>6-1-01-04-012</t>
  </si>
  <si>
    <t xml:space="preserve">            COMBUSTIBLES Y LUBRICANTES</t>
  </si>
  <si>
    <t>6-1-01-04-011</t>
  </si>
  <si>
    <t xml:space="preserve">            SEGURIDAD Y VIGILANCIA</t>
  </si>
  <si>
    <t>6-1-01-04-010</t>
  </si>
  <si>
    <t>6-1-01-04-009</t>
  </si>
  <si>
    <t xml:space="preserve">            ALQUILER DE OFICINA</t>
  </si>
  <si>
    <t>6-1-01-04-008</t>
  </si>
  <si>
    <t xml:space="preserve">            ENVIO DE ENCOMIENDAS</t>
  </si>
  <si>
    <t>6-1-01-04-007</t>
  </si>
  <si>
    <t xml:space="preserve">            AGUA Y ACANTARILLADO</t>
  </si>
  <si>
    <t>6-1-01-04-006</t>
  </si>
  <si>
    <t xml:space="preserve">            ENERGIA ELECTRICA</t>
  </si>
  <si>
    <t>6-1-01-04-005</t>
  </si>
  <si>
    <t xml:space="preserve">            REFRIGERIOS</t>
  </si>
  <si>
    <t>6-1-01-04-004</t>
  </si>
  <si>
    <t>6-1-01-04-003</t>
  </si>
  <si>
    <t xml:space="preserve">            GASTOS LEGALES, NOTARIALES Y JUDICIALES</t>
  </si>
  <si>
    <t>6-1-01-04-002</t>
  </si>
  <si>
    <t>6-1-01-04-001</t>
  </si>
  <si>
    <t xml:space="preserve">         GASTOS GENERALES DE OFICINA</t>
  </si>
  <si>
    <t>6-1-01-04-000</t>
  </si>
  <si>
    <t xml:space="preserve">            DERECHOS DE FRECUENCIA</t>
  </si>
  <si>
    <t>6-1-01-03-013</t>
  </si>
  <si>
    <t xml:space="preserve">            IMP. A LA PROP. B. INMUEBLES Y VEH</t>
  </si>
  <si>
    <t>6-1-01-03-012</t>
  </si>
  <si>
    <t xml:space="preserve">            PATENTE MUNICIPAL</t>
  </si>
  <si>
    <t>6-1-01-03-011</t>
  </si>
  <si>
    <t xml:space="preserve">            CONTRAVENCIONES TRIBUTARIAS</t>
  </si>
  <si>
    <t>6-1-01-03-010</t>
  </si>
  <si>
    <t xml:space="preserve">            TASAS Y PARQUEOS</t>
  </si>
  <si>
    <t>6-1-01-03-006</t>
  </si>
  <si>
    <t xml:space="preserve">            CREDITO FISCAL NO DEDUCIBLE</t>
  </si>
  <si>
    <t>6-1-01-03-005</t>
  </si>
  <si>
    <t xml:space="preserve">            IMPUESTO I.U.E.</t>
  </si>
  <si>
    <t>6-1-01-03-004</t>
  </si>
  <si>
    <t xml:space="preserve">            IMPUESTO IVA</t>
  </si>
  <si>
    <t>6-1-01-03-003</t>
  </si>
  <si>
    <t xml:space="preserve">            IMPTO. A LAS TRANSACCIONES FINANCIERAS</t>
  </si>
  <si>
    <t>6-1-01-03-002</t>
  </si>
  <si>
    <t xml:space="preserve">            IMPUESTOS A LAS TRANSACCIONES</t>
  </si>
  <si>
    <t>6-1-01-03-001</t>
  </si>
  <si>
    <t xml:space="preserve">         GASTOS TRIBUTARIOS</t>
  </si>
  <si>
    <t>6-1-01-03-000</t>
  </si>
  <si>
    <t xml:space="preserve">            COMISIONES BANCARIAS</t>
  </si>
  <si>
    <t>6-1-01-02-003</t>
  </si>
  <si>
    <t xml:space="preserve">            CARGOS BANCARIOS</t>
  </si>
  <si>
    <t>6-1-01-02-002</t>
  </si>
  <si>
    <t xml:space="preserve">            INTERESES</t>
  </si>
  <si>
    <t>6-1-01-02-001</t>
  </si>
  <si>
    <t xml:space="preserve">         GASTOS FINANCIEROS</t>
  </si>
  <si>
    <t>6-1-01-02-000</t>
  </si>
  <si>
    <t xml:space="preserve">            VACACIONES</t>
  </si>
  <si>
    <t>6-1-01-01-024</t>
  </si>
  <si>
    <t xml:space="preserve">            CARGAS PATRONALES CNS</t>
  </si>
  <si>
    <t>6-1-01-01-023</t>
  </si>
  <si>
    <t>6-1-01-01-022</t>
  </si>
  <si>
    <t xml:space="preserve">            FESTEJOS ANUALES</t>
  </si>
  <si>
    <t>6-1-01-01-021</t>
  </si>
  <si>
    <t xml:space="preserve">            CAPACITACIONES</t>
  </si>
  <si>
    <t>6-1-01-01-020</t>
  </si>
  <si>
    <t xml:space="preserve">            SUBSIDIOS</t>
  </si>
  <si>
    <t>6-1-01-01-019</t>
  </si>
  <si>
    <t xml:space="preserve">            COMISIONES MTEPS</t>
  </si>
  <si>
    <t>6-1-01-01-018</t>
  </si>
  <si>
    <t xml:space="preserve">            FINIQUITOS</t>
  </si>
  <si>
    <t>6-1-01-01-017</t>
  </si>
  <si>
    <t xml:space="preserve">            COMISIONES</t>
  </si>
  <si>
    <t>6-1-01-01-016</t>
  </si>
  <si>
    <t xml:space="preserve">            INDENMIZACIONES</t>
  </si>
  <si>
    <t>6-1-01-01-015</t>
  </si>
  <si>
    <t xml:space="preserve">            AGUINALDOS</t>
  </si>
  <si>
    <t>6-1-01-01-014</t>
  </si>
  <si>
    <t>6-1-01-01-013</t>
  </si>
  <si>
    <t xml:space="preserve">            DIVIDENDOS SOCIOS</t>
  </si>
  <si>
    <t>6-1-01-01-012</t>
  </si>
  <si>
    <t xml:space="preserve">            BONO TRANSPORTE</t>
  </si>
  <si>
    <t>6-1-01-01-011</t>
  </si>
  <si>
    <t xml:space="preserve">            HONORARIOS PROFESIONALES</t>
  </si>
  <si>
    <t>6-1-01-01-010</t>
  </si>
  <si>
    <t xml:space="preserve">            UNIFORMES</t>
  </si>
  <si>
    <t>6-1-01-01-009</t>
  </si>
  <si>
    <t xml:space="preserve">            CONTRAVENCIONES</t>
  </si>
  <si>
    <t>6-1-01-01-006</t>
  </si>
  <si>
    <t xml:space="preserve">            FORMULARIOS</t>
  </si>
  <si>
    <t>6-1-01-01-005</t>
  </si>
  <si>
    <t xml:space="preserve">            ATENCIONES MEDICAS</t>
  </si>
  <si>
    <t>6-1-01-01-004</t>
  </si>
  <si>
    <t xml:space="preserve">            CARGAS PATRONALES AFP</t>
  </si>
  <si>
    <t>6-1-01-01-003</t>
  </si>
  <si>
    <t xml:space="preserve">            CARGAS LABORALES</t>
  </si>
  <si>
    <t>6-1-01-01-002</t>
  </si>
  <si>
    <t>6-1-01-01-001</t>
  </si>
  <si>
    <t>6-1-01-01-000</t>
  </si>
  <si>
    <t xml:space="preserve">      GASTOS ADMINISTRATIVOS</t>
  </si>
  <si>
    <t>6-1-01-00-000</t>
  </si>
  <si>
    <t xml:space="preserve">   GASTOS OPERATIVOS</t>
  </si>
  <si>
    <t>6-1-00-00-000</t>
  </si>
  <si>
    <t>6-0-00-00-000</t>
  </si>
  <si>
    <t xml:space="preserve">            COSTO VENTAS</t>
  </si>
  <si>
    <t>5-1-01-01-008</t>
  </si>
  <si>
    <t xml:space="preserve">            BONIFICACIONES</t>
  </si>
  <si>
    <t>5-1-01-01-007</t>
  </si>
  <si>
    <t xml:space="preserve">            MUESTRAS EJECUTIVOS</t>
  </si>
  <si>
    <t>5-1-01-01-006</t>
  </si>
  <si>
    <t xml:space="preserve">            FALTANTE DE MERCADERIA</t>
  </si>
  <si>
    <t>5-1-01-01-005</t>
  </si>
  <si>
    <t>5-1-01-01-004</t>
  </si>
  <si>
    <t xml:space="preserve">            DEVOLUCIONES EN VENTAS</t>
  </si>
  <si>
    <t>5-1-01-01-003</t>
  </si>
  <si>
    <t xml:space="preserve">            DESCUENTOS EN VENTAS</t>
  </si>
  <si>
    <t>5-1-01-01-002</t>
  </si>
  <si>
    <t xml:space="preserve">            COSTO DE VENTAS</t>
  </si>
  <si>
    <t>5-1-01-01-001</t>
  </si>
  <si>
    <t xml:space="preserve">         COSTO DE VENTAS</t>
  </si>
  <si>
    <t>5-1-01-01-000</t>
  </si>
  <si>
    <t xml:space="preserve">      COSTOS POR MERCADERIA VENDIDA</t>
  </si>
  <si>
    <t>5-1-01-00-000</t>
  </si>
  <si>
    <t xml:space="preserve">   COSTOS OPERATIVOS</t>
  </si>
  <si>
    <t>5-1-00-00-000</t>
  </si>
  <si>
    <t>COSTOS</t>
  </si>
  <si>
    <t>5-0-00-00-000</t>
  </si>
  <si>
    <t xml:space="preserve">            DIFERENCIA DE CAMBIO</t>
  </si>
  <si>
    <t>4-2-01-02-006</t>
  </si>
  <si>
    <t xml:space="preserve">            INGRESOS IVA</t>
  </si>
  <si>
    <t>4-2-01-02-005</t>
  </si>
  <si>
    <t xml:space="preserve">            GANANCIAS EN VENTAS</t>
  </si>
  <si>
    <t>4-2-01-02-004</t>
  </si>
  <si>
    <t xml:space="preserve">            SOBRANTE DE MERCADERIA</t>
  </si>
  <si>
    <t>4-2-01-02-003</t>
  </si>
  <si>
    <t xml:space="preserve">            INGRESOS VARIOS</t>
  </si>
  <si>
    <t>4-2-01-02-002</t>
  </si>
  <si>
    <t xml:space="preserve">            AJUSTE POR INFLACION Y TENENCIA DE BIENES</t>
  </si>
  <si>
    <t>4-2-01-02-001</t>
  </si>
  <si>
    <t xml:space="preserve">         OTROS INGRESOS</t>
  </si>
  <si>
    <t>4-2-01-02-000</t>
  </si>
  <si>
    <t xml:space="preserve">            INTERES BANCARIO GANADO</t>
  </si>
  <si>
    <t>4-2-01-01-001</t>
  </si>
  <si>
    <t xml:space="preserve">         INTERESES</t>
  </si>
  <si>
    <t>4-2-01-01-000</t>
  </si>
  <si>
    <t xml:space="preserve">      INGRESOS FINANCIEROS</t>
  </si>
  <si>
    <t>4-2-01-00-000</t>
  </si>
  <si>
    <t xml:space="preserve">   INGRESOS NO OPERATIVOS</t>
  </si>
  <si>
    <t>4-2-00-00-000</t>
  </si>
  <si>
    <t xml:space="preserve">            VENTAS</t>
  </si>
  <si>
    <t>4-1-01-01-001</t>
  </si>
  <si>
    <t xml:space="preserve">         VENTAS</t>
  </si>
  <si>
    <t>4-1-01-01-000</t>
  </si>
  <si>
    <t xml:space="preserve">      INGRESOS POR VENTAS</t>
  </si>
  <si>
    <t>4-1-01-00-000</t>
  </si>
  <si>
    <t xml:space="preserve">   INGRESOS OPERATIVOS</t>
  </si>
  <si>
    <t>4-1-00-00-000</t>
  </si>
  <si>
    <t>4-0-00-00-000</t>
  </si>
  <si>
    <t xml:space="preserve">         APORTES POR CAPITALIZAR</t>
  </si>
  <si>
    <t>3-1-01-04-000</t>
  </si>
  <si>
    <t xml:space="preserve">            RESULTADOS ACUMULADOS</t>
  </si>
  <si>
    <t>3-1-01-03-002</t>
  </si>
  <si>
    <t>$</t>
  </si>
  <si>
    <t xml:space="preserve">            RESULTADO DE LA GESTION</t>
  </si>
  <si>
    <t>3-1-01-03-001</t>
  </si>
  <si>
    <t xml:space="preserve">         RESULTADOS</t>
  </si>
  <si>
    <t>3-1-01-03-000</t>
  </si>
  <si>
    <t xml:space="preserve">            APORTES POR CAPITALIZAR</t>
  </si>
  <si>
    <t>3-1-01-02-004</t>
  </si>
  <si>
    <t>@</t>
  </si>
  <si>
    <t xml:space="preserve">            AJUSTE GLOBAL AL PATRIMONIO</t>
  </si>
  <si>
    <t>3-1-01-02-003</t>
  </si>
  <si>
    <t xml:space="preserve">            AJUSTE DE RESERVAS PATRIMONIALES</t>
  </si>
  <si>
    <t>3-1-01-02-002</t>
  </si>
  <si>
    <t xml:space="preserve">            AJUSTE DE CAPITAL</t>
  </si>
  <si>
    <t>3-1-01-02-001</t>
  </si>
  <si>
    <t>#</t>
  </si>
  <si>
    <t xml:space="preserve">         AJUSTES</t>
  </si>
  <si>
    <t>3-1-01-02-000</t>
  </si>
  <si>
    <t xml:space="preserve">            CAPITAL SOCIAL</t>
  </si>
  <si>
    <t>3-1-01-01-001</t>
  </si>
  <si>
    <t xml:space="preserve">         CAPITAL CONTABLE</t>
  </si>
  <si>
    <t>3-1-01-01-000</t>
  </si>
  <si>
    <t xml:space="preserve">      CAPITAL</t>
  </si>
  <si>
    <t>3-1-01-00-000</t>
  </si>
  <si>
    <t xml:space="preserve">   PATRIMONIO NETO</t>
  </si>
  <si>
    <t>3-1-00-00-000</t>
  </si>
  <si>
    <t>3-0-00-00-000</t>
  </si>
  <si>
    <t xml:space="preserve">            PREVISION PARA IVA.</t>
  </si>
  <si>
    <t>2-2-01-02-001</t>
  </si>
  <si>
    <t xml:space="preserve">         PREVISIONES IMPOSITIVAS</t>
  </si>
  <si>
    <t>2-2-01-02-000</t>
  </si>
  <si>
    <t xml:space="preserve">            PREVISION PARA INDEMNIZACIONES</t>
  </si>
  <si>
    <t>2-2-01-01-001</t>
  </si>
  <si>
    <t xml:space="preserve">         PREVISIONES SOCIALES</t>
  </si>
  <si>
    <t>2-2-01-01-000</t>
  </si>
  <si>
    <t xml:space="preserve">      PREVISIONES</t>
  </si>
  <si>
    <t>2-2-01-00-000</t>
  </si>
  <si>
    <t xml:space="preserve">   PASIVO NO CORRIENTE</t>
  </si>
  <si>
    <t>2-2-00-00-000</t>
  </si>
  <si>
    <t xml:space="preserve">            PROVISION PARA AGUINALDOS</t>
  </si>
  <si>
    <t>2-1-01-09-001</t>
  </si>
  <si>
    <t xml:space="preserve">         PROVISIONES</t>
  </si>
  <si>
    <t>2-1-01-09-000</t>
  </si>
  <si>
    <t xml:space="preserve">            ANTICIPO DE CLIENTES</t>
  </si>
  <si>
    <t>2-1-01-08-001</t>
  </si>
  <si>
    <t xml:space="preserve">         ANTICIPOS DE CLIENTES</t>
  </si>
  <si>
    <t>2-1-01-08-000</t>
  </si>
  <si>
    <t xml:space="preserve">            PRESTAMOS DE TERCEROS</t>
  </si>
  <si>
    <t>2-1-01-07-001</t>
  </si>
  <si>
    <t xml:space="preserve">         PRESTAMOS DE TERCEROS</t>
  </si>
  <si>
    <t>2-1-01-07-000</t>
  </si>
  <si>
    <t xml:space="preserve">            ALQUILERES DE OFICINA POR PAGAR</t>
  </si>
  <si>
    <t>2-1-01-06-003</t>
  </si>
  <si>
    <t xml:space="preserve">            SAGUAPAG LTDA</t>
  </si>
  <si>
    <t>2-1-01-06-002</t>
  </si>
  <si>
    <t xml:space="preserve">            CRE LTDA</t>
  </si>
  <si>
    <t>2-1-01-06-001</t>
  </si>
  <si>
    <t xml:space="preserve">         SERVICIOS BASICOS POR PAGAR</t>
  </si>
  <si>
    <t>2-1-01-06-000</t>
  </si>
  <si>
    <t xml:space="preserve">         OBLIGACIONES BANCARIAS</t>
  </si>
  <si>
    <t>2-1-01-05-000</t>
  </si>
  <si>
    <t xml:space="preserve">            IMPUESTOS POR PAGAR</t>
  </si>
  <si>
    <t>2-1-01-04-010</t>
  </si>
  <si>
    <t xml:space="preserve">            IUE POR PAGAR</t>
  </si>
  <si>
    <t>2-1-01-04-008</t>
  </si>
  <si>
    <t xml:space="preserve">            RETENCIONES RC-IVA</t>
  </si>
  <si>
    <t>2-1-01-04-007</t>
  </si>
  <si>
    <t xml:space="preserve">            RETENCIONES IT POR PAGAR</t>
  </si>
  <si>
    <t>2-1-01-04-006</t>
  </si>
  <si>
    <t xml:space="preserve">            RETENCIONES IUE BIENES POR PAGAR</t>
  </si>
  <si>
    <t>2-1-01-04-005</t>
  </si>
  <si>
    <t xml:space="preserve">            RETENCIONES IUE SERVICIOS POR PAGAR</t>
  </si>
  <si>
    <t>2-1-01-04-004</t>
  </si>
  <si>
    <t xml:space="preserve">            RC-IVA POR PAGAR</t>
  </si>
  <si>
    <t>2-1-01-04-003</t>
  </si>
  <si>
    <t xml:space="preserve">            IT POR PAGAR</t>
  </si>
  <si>
    <t>2-1-01-04-002</t>
  </si>
  <si>
    <t xml:space="preserve">            DEBITO FISCAL</t>
  </si>
  <si>
    <t>2-1-01-04-001</t>
  </si>
  <si>
    <t xml:space="preserve">         OBLIGACIONES TRIBUTARIAS</t>
  </si>
  <si>
    <t>2-1-01-04-000</t>
  </si>
  <si>
    <t xml:space="preserve">            COMISIONES POR PAGAR</t>
  </si>
  <si>
    <t>2-1-01-03-007</t>
  </si>
  <si>
    <t xml:space="preserve">            C.P.S. POR PAGAR</t>
  </si>
  <si>
    <t>2-1-01-03-006</t>
  </si>
  <si>
    <t xml:space="preserve">            A.F.P. POR PAGAR</t>
  </si>
  <si>
    <t>2-1-01-03-005</t>
  </si>
  <si>
    <t xml:space="preserve">            AGUINALDOS POR PAGAR</t>
  </si>
  <si>
    <t>2-1-01-03-004</t>
  </si>
  <si>
    <t xml:space="preserve">            COMISION AFP</t>
  </si>
  <si>
    <t>2-1-01-03-003</t>
  </si>
  <si>
    <t xml:space="preserve">            INDEMNIZACION POR PAGAR</t>
  </si>
  <si>
    <t>2-1-01-03-002</t>
  </si>
  <si>
    <t xml:space="preserve">            SUELDOS POR PAGAR</t>
  </si>
  <si>
    <t>2-1-01-03-001</t>
  </si>
  <si>
    <t xml:space="preserve">         OBLIGACIONES SOCIALES</t>
  </si>
  <si>
    <t>2-1-01-03-000</t>
  </si>
  <si>
    <t xml:space="preserve">         DOCUMENTOS POR PAGAR</t>
  </si>
  <si>
    <t>2-1-01-02-000</t>
  </si>
  <si>
    <t xml:space="preserve">            OTRAS CUENTAS POR PAGAR</t>
  </si>
  <si>
    <t>2-1-01-01-002</t>
  </si>
  <si>
    <t xml:space="preserve">            CUENTAS POR PAGAR</t>
  </si>
  <si>
    <t>2-1-01-01-001</t>
  </si>
  <si>
    <t xml:space="preserve">         PROVEEDORES</t>
  </si>
  <si>
    <t>2-1-01-01-000</t>
  </si>
  <si>
    <t xml:space="preserve">      CUENTAS POR PAGAR</t>
  </si>
  <si>
    <t>2-1-01-00-000</t>
  </si>
  <si>
    <t xml:space="preserve">   PASIVO CORRIENTE</t>
  </si>
  <si>
    <t>2-1-00-00-000</t>
  </si>
  <si>
    <t>2-0-00-00-000</t>
  </si>
  <si>
    <t xml:space="preserve">            BOLETAS DE GARANTIA</t>
  </si>
  <si>
    <t>1-2-02-01-002</t>
  </si>
  <si>
    <t xml:space="preserve">            SOFTWARES DE COMPUTACION</t>
  </si>
  <si>
    <t>1-2-02-01-001</t>
  </si>
  <si>
    <t xml:space="preserve">         OTROS ACTIVOS</t>
  </si>
  <si>
    <t>1-2-02-01-000</t>
  </si>
  <si>
    <t xml:space="preserve">      OTROS ACTIVOS</t>
  </si>
  <si>
    <t>1-2-02-00-000</t>
  </si>
  <si>
    <t xml:space="preserve">            DEP. ACUM. EQUIPOS DE OFICINA</t>
  </si>
  <si>
    <t>1-2-01-01-010</t>
  </si>
  <si>
    <t xml:space="preserve">            EQUIPOS DE OFICINA</t>
  </si>
  <si>
    <t>1-2-01-01-009</t>
  </si>
  <si>
    <t xml:space="preserve">            DEP. ACUM. HERRAMIENTAS</t>
  </si>
  <si>
    <t>1-2-01-01-008</t>
  </si>
  <si>
    <t xml:space="preserve">            HERRAMIENTAS</t>
  </si>
  <si>
    <t>1-2-01-01-007</t>
  </si>
  <si>
    <t xml:space="preserve">            DEP. ACUM. MAQUINARIA Y EQUIPOS</t>
  </si>
  <si>
    <t>1-2-01-01-006</t>
  </si>
  <si>
    <t xml:space="preserve">            MAQUINARIA Y EQUIPOS</t>
  </si>
  <si>
    <t>1-2-01-01-005</t>
  </si>
  <si>
    <t xml:space="preserve">            DEP. ACUM. EQ. DE COMPUTACION</t>
  </si>
  <si>
    <t>1-2-01-01-004</t>
  </si>
  <si>
    <t xml:space="preserve">            EQUIPOS DE COMPUTACION</t>
  </si>
  <si>
    <t>1-2-01-01-003</t>
  </si>
  <si>
    <t xml:space="preserve">            DEP. ACUM. MUEBLES Y ENSERES</t>
  </si>
  <si>
    <t>1-2-01-01-002</t>
  </si>
  <si>
    <t xml:space="preserve">            MUEBLES Y ENSERES</t>
  </si>
  <si>
    <t>1-2-01-01-001</t>
  </si>
  <si>
    <t xml:space="preserve">         ACTIVOS FIJOS NETOS</t>
  </si>
  <si>
    <t>1-2-01-01-000</t>
  </si>
  <si>
    <t xml:space="preserve">      ACTIVOS FIJOS</t>
  </si>
  <si>
    <t>1-2-01-00-000</t>
  </si>
  <si>
    <t xml:space="preserve">   ACTIVOS NO CORRIENTES</t>
  </si>
  <si>
    <t>1-2-00-00-000</t>
  </si>
  <si>
    <t xml:space="preserve">            IUE ANTICIPADOS</t>
  </si>
  <si>
    <t>1-1-05-02-002</t>
  </si>
  <si>
    <t xml:space="preserve">            GASTOS DE ORGANIZACION</t>
  </si>
  <si>
    <t>1-1-05-02-001</t>
  </si>
  <si>
    <t xml:space="preserve">         DIFERIDOS</t>
  </si>
  <si>
    <t>1-1-05-02-000</t>
  </si>
  <si>
    <t xml:space="preserve">            ALQUILERES PAGADOS POR ANTICIPADO</t>
  </si>
  <si>
    <t>1-1-05-01-001</t>
  </si>
  <si>
    <t xml:space="preserve">         GASTOS DIFERRIDOS</t>
  </si>
  <si>
    <t>1-1-05-01-000</t>
  </si>
  <si>
    <t xml:space="preserve">      ACTIVOS DIFERIDOS</t>
  </si>
  <si>
    <t>1-1-05-00-000</t>
  </si>
  <si>
    <t xml:space="preserve">            DEPOSITOS POR CONTABILIZAR</t>
  </si>
  <si>
    <t>1-1-04-02-002</t>
  </si>
  <si>
    <t xml:space="preserve">            MERCADERIA EN TRANSITO</t>
  </si>
  <si>
    <t>1-1-04-02-001</t>
  </si>
  <si>
    <t xml:space="preserve">         MERCADERIA EN TRANSITO</t>
  </si>
  <si>
    <t>1-1-04-02-000</t>
  </si>
  <si>
    <t xml:space="preserve">            CREDITO FISCAL TRANSITORIO</t>
  </si>
  <si>
    <t>1-1-04-01-002</t>
  </si>
  <si>
    <t xml:space="preserve">            CREDITO FISCAL</t>
  </si>
  <si>
    <t>1-1-04-01-001</t>
  </si>
  <si>
    <t xml:space="preserve">         ACTIVO TRIBUTARIO</t>
  </si>
  <si>
    <t>1-1-04-01-000</t>
  </si>
  <si>
    <t xml:space="preserve">      ACTIVO TRANSITORIO</t>
  </si>
  <si>
    <t>1-1-04-00-000</t>
  </si>
  <si>
    <t>1-1-03-02-001</t>
  </si>
  <si>
    <t xml:space="preserve">         GASTOS DE ORGANIZACION</t>
  </si>
  <si>
    <t>1-1-03-02-000</t>
  </si>
  <si>
    <t xml:space="preserve">            INVENTARIO DE MERCADERIAS</t>
  </si>
  <si>
    <t>1-1-03-01-001</t>
  </si>
  <si>
    <t xml:space="preserve">         INVENTARIO</t>
  </si>
  <si>
    <t>1-1-03-01-000</t>
  </si>
  <si>
    <t xml:space="preserve">      ACTIVO REALIZABLE</t>
  </si>
  <si>
    <t>1-1-03-00-000</t>
  </si>
  <si>
    <t xml:space="preserve">            MIGUEL</t>
  </si>
  <si>
    <t>1-1-02-08-001</t>
  </si>
  <si>
    <t xml:space="preserve">         PRESTAMOS AL PERSONAL</t>
  </si>
  <si>
    <t>1-1-02-08-000</t>
  </si>
  <si>
    <t xml:space="preserve">            ANTICIPO HONORARIOS PROFESIONALES</t>
  </si>
  <si>
    <t>1-1-02-07-002</t>
  </si>
  <si>
    <t xml:space="preserve">            OTRAS CUENTAS POR COBRAR</t>
  </si>
  <si>
    <t>1-1-02-07-001</t>
  </si>
  <si>
    <t xml:space="preserve">         OTRAS CUENTAS POR COBRAR</t>
  </si>
  <si>
    <t>1-1-02-07-000</t>
  </si>
  <si>
    <t xml:space="preserve">            FONDOS A RENDIR JORGE ORTIZ</t>
  </si>
  <si>
    <t>1-1-02-06-002</t>
  </si>
  <si>
    <t xml:space="preserve">            FONDOS A RENDIR</t>
  </si>
  <si>
    <t>1-1-02-06-001</t>
  </si>
  <si>
    <t xml:space="preserve">         FONDOS A RENDIR</t>
  </si>
  <si>
    <t>1-1-02-06-000</t>
  </si>
  <si>
    <t xml:space="preserve">            ANTICIPO A PROVEEDORES</t>
  </si>
  <si>
    <t>1-1-02-05-001</t>
  </si>
  <si>
    <t xml:space="preserve">         ANTICIPO A PROVEEDORES</t>
  </si>
  <si>
    <t>1-1-02-05-000</t>
  </si>
  <si>
    <t xml:space="preserve">         RETIRO DE SOCIOS</t>
  </si>
  <si>
    <t>1-1-02-04-000</t>
  </si>
  <si>
    <t>1-1-02-03-001</t>
  </si>
  <si>
    <t xml:space="preserve">         ANTICIPOS AL PERSONAL</t>
  </si>
  <si>
    <t>1-1-02-03-000</t>
  </si>
  <si>
    <t xml:space="preserve">            ALQUILER DE SISTEMAS</t>
  </si>
  <si>
    <t>1-1-02-02-003</t>
  </si>
  <si>
    <t xml:space="preserve">            GARANTIA ALQUILER DE OFICINA</t>
  </si>
  <si>
    <t>1-1-02-02-002</t>
  </si>
  <si>
    <t xml:space="preserve">            DOCUMENTOS POR COBRAR</t>
  </si>
  <si>
    <t>1-1-02-02-001</t>
  </si>
  <si>
    <t xml:space="preserve">         DOCUMENTOS POR COBRAR</t>
  </si>
  <si>
    <t>1-1-02-02-000</t>
  </si>
  <si>
    <t xml:space="preserve">            CUENTAS POR COBRAR</t>
  </si>
  <si>
    <t>1-1-02-01-001</t>
  </si>
  <si>
    <t xml:space="preserve">         CLIENTES</t>
  </si>
  <si>
    <t>1-1-02-01-000</t>
  </si>
  <si>
    <t xml:space="preserve">      EXIGIBLE</t>
  </si>
  <si>
    <t>1-1-02-00-000</t>
  </si>
  <si>
    <t xml:space="preserve">            BANCO BISA M/E</t>
  </si>
  <si>
    <t>1-1-01-02-003</t>
  </si>
  <si>
    <t xml:space="preserve">            BANCO GANADERO ME</t>
  </si>
  <si>
    <t>1-1-01-02-002</t>
  </si>
  <si>
    <t xml:space="preserve">            CAJA M/E</t>
  </si>
  <si>
    <t>1-1-01-02-001</t>
  </si>
  <si>
    <t xml:space="preserve">         DISPONIBLE EN M/E</t>
  </si>
  <si>
    <t>1-1-01-02-000</t>
  </si>
  <si>
    <t xml:space="preserve">            CAJA CHICA COM</t>
  </si>
  <si>
    <t>1-1-01-01-005</t>
  </si>
  <si>
    <t xml:space="preserve">            BANCO BISA M/N</t>
  </si>
  <si>
    <t>1-1-01-01-004</t>
  </si>
  <si>
    <t xml:space="preserve">            CAJA CHICA ADM</t>
  </si>
  <si>
    <t>1-1-01-01-003</t>
  </si>
  <si>
    <t xml:space="preserve">            BANCO BNB MN</t>
  </si>
  <si>
    <t>1-1-01-01-002</t>
  </si>
  <si>
    <t xml:space="preserve">            CAJA M/N</t>
  </si>
  <si>
    <t>1-1-01-01-001</t>
  </si>
  <si>
    <t xml:space="preserve">         DISPONIBLE EN MN</t>
  </si>
  <si>
    <t>1-1-01-01-000</t>
  </si>
  <si>
    <t xml:space="preserve">      DISPONIBLE</t>
  </si>
  <si>
    <t>1-1-01-00-000</t>
  </si>
  <si>
    <t xml:space="preserve">   ACTIVO CORRIENTE</t>
  </si>
  <si>
    <t>1-1-00-00-000</t>
  </si>
  <si>
    <t>1-0-00-00-000</t>
  </si>
  <si>
    <t>DESCRIPCIÓN</t>
  </si>
  <si>
    <t>CÓDIGO</t>
  </si>
  <si>
    <t>Alquileres pagados por anticipado</t>
  </si>
  <si>
    <t>Muebles y enseres</t>
  </si>
  <si>
    <t>ALQUILERES PAGADOS POR ANTICIPADO</t>
  </si>
  <si>
    <t>DEUDAS POR PAGAR</t>
  </si>
  <si>
    <t>IT POR PAGAR</t>
  </si>
  <si>
    <t>MANTENIMIENTO MOBILIARIO</t>
  </si>
  <si>
    <t>ALQUILER DE OFICINA</t>
  </si>
  <si>
    <t>CONTADOR</t>
  </si>
  <si>
    <t>GERENTE GENERAL</t>
  </si>
  <si>
    <t>GASTOS OPERATIVOS</t>
  </si>
  <si>
    <t>UTILIDAD BRUTA EN VENTAS</t>
  </si>
  <si>
    <t>Costo de ventas</t>
  </si>
  <si>
    <t>COSTO DE VENTAS</t>
  </si>
  <si>
    <t>Descuento s/ventas</t>
  </si>
  <si>
    <t>(-)</t>
  </si>
  <si>
    <t>Devoluciones s/ventas</t>
  </si>
  <si>
    <t>Ventas</t>
  </si>
  <si>
    <t>VENTAS NETAS</t>
  </si>
  <si>
    <t>CAPITAL</t>
  </si>
  <si>
    <t>CAJA MN</t>
  </si>
  <si>
    <t>GANANCIA OPERATIVA</t>
  </si>
  <si>
    <t>GANANCIA DEL EJERCICIO</t>
  </si>
  <si>
    <t>DEL 01 AL 30 DE ABRIL DE 2023</t>
  </si>
  <si>
    <t>Del 01 al 30 de abril de 2023</t>
  </si>
  <si>
    <t>Al 30 de abril de 2023</t>
  </si>
  <si>
    <t>I.T. POR PAGAR</t>
  </si>
  <si>
    <t>APORTE LABORAL GESTORA POR PAGAR</t>
  </si>
  <si>
    <t>I.T.</t>
  </si>
  <si>
    <t>Practicado al 01 de Enero de 2023</t>
  </si>
  <si>
    <t>Caja M/N</t>
  </si>
  <si>
    <t>Equipos de computación</t>
  </si>
  <si>
    <t>PRESTAMO BANCARIO</t>
  </si>
  <si>
    <t xml:space="preserve"> ----------CT-01--------</t>
  </si>
  <si>
    <t>Glosa: Por inicio de actividades</t>
  </si>
  <si>
    <t xml:space="preserve"> ------------CT-02------------</t>
  </si>
  <si>
    <t xml:space="preserve"> -----------CE-01----------</t>
  </si>
  <si>
    <t xml:space="preserve"> ---------CI-02---------</t>
  </si>
  <si>
    <t xml:space="preserve"> ---------CE-02---------</t>
  </si>
  <si>
    <t xml:space="preserve"> ----------CE-03-------</t>
  </si>
  <si>
    <t xml:space="preserve"> --------CE-04--------</t>
  </si>
  <si>
    <t xml:space="preserve"> -----CT-04-----</t>
  </si>
  <si>
    <t>EQUIPOS DE COMPUTACION</t>
  </si>
  <si>
    <t>GASTOS LEGALES, NOTARIALES Y JUDICIALES</t>
  </si>
  <si>
    <t>Glosa: Pagos por gastosnlegales según factura #3510</t>
  </si>
  <si>
    <t>Glosa: Por compra de mercaderia promayor s/g #3552</t>
  </si>
  <si>
    <t xml:space="preserve"> </t>
  </si>
  <si>
    <t>Glosa: Por compra de mercaderia a imp.todotec s/g#1254</t>
  </si>
  <si>
    <t xml:space="preserve"> -----------CT-03----------</t>
  </si>
  <si>
    <t>Glosa: Por venta de merc. Emp.DFASTORE S.A. s/f #001</t>
  </si>
  <si>
    <t>MATERIAL DE ESCRITORIO</t>
  </si>
  <si>
    <t>Glosa: Por compra de material de escritorio s/g factura#665</t>
  </si>
  <si>
    <t xml:space="preserve"> ---------CI-01---------</t>
  </si>
  <si>
    <t>Glosa: Por compra de mercaderia-SAMSUNG s/g factura # 8590</t>
  </si>
  <si>
    <t xml:space="preserve"> --------CI-03--------</t>
  </si>
  <si>
    <t>Glosa: Por VENTA de mercaderia-GALVAL SRL, s/g factura # 002</t>
  </si>
  <si>
    <t>Glosa: Por venta.merc. LAVATODO UNIVERSAL SRL, s/g factura # 003</t>
  </si>
  <si>
    <t>Glosa: Por consig, al credito.merc. IMPORTADORA RODRIGUEZ, s/g factura # 22548</t>
  </si>
  <si>
    <t>Glosa: Por compra de escritorio area marketing, s/g factura # 761</t>
  </si>
  <si>
    <t>Glosa: Por compra de mercaderia CONSUL según factura #486</t>
  </si>
  <si>
    <t xml:space="preserve"> --------CI-04--------</t>
  </si>
  <si>
    <t>Glosa: Recepcion de cheque ctas x cobrar LAVATODO UNIVERSAL SRL, s/g factura # 003</t>
  </si>
  <si>
    <t xml:space="preserve"> -----CE-05-----</t>
  </si>
  <si>
    <t>SEGURIDAD Y VIGILANCIA</t>
  </si>
  <si>
    <t>Glosa: Por pago de servicio de seguridad vigitek según factura #002</t>
  </si>
  <si>
    <t>COMISIONES</t>
  </si>
  <si>
    <t>APORTES PATRONALES GESTORA</t>
  </si>
  <si>
    <t>CAJA DE SALUD</t>
  </si>
  <si>
    <t>AGUINALDOS</t>
  </si>
  <si>
    <t>INDEMNIZACION</t>
  </si>
  <si>
    <t>PRIMAS</t>
  </si>
  <si>
    <t xml:space="preserve"> -----CE-06-----</t>
  </si>
  <si>
    <t>APORTES PATRONALES GESTORA POR PAGAR</t>
  </si>
  <si>
    <t>CAJA DE SALUD POR PAGAR</t>
  </si>
  <si>
    <t>AGUINALDO POR PAGAR</t>
  </si>
  <si>
    <t>PREVISION PARA INDEMIZACION</t>
  </si>
  <si>
    <t>Glosa: Pago de comiciones enero 2023</t>
  </si>
  <si>
    <t xml:space="preserve"> --------CE-07--------</t>
  </si>
  <si>
    <t xml:space="preserve"> -----CI-05-----</t>
  </si>
  <si>
    <t>Glosa: Por venta de mercaderia a la empresa MAYORISTA según factura #006</t>
  </si>
  <si>
    <t>Glosa: Por venta de mercaderia a la EMPRESA ECOR ltda según factura #007</t>
  </si>
  <si>
    <t>Glosa: Por venta de camaras TSJ según factura #007</t>
  </si>
  <si>
    <t xml:space="preserve">Glosa: provision de aportes patronales mes de enero </t>
  </si>
  <si>
    <t>Glosa: Recepcion de cheque ctas x cobrar de la empresa ECOR S/F #007</t>
  </si>
  <si>
    <t>PUBLICIDAD EN RADIO Y T.V.</t>
  </si>
  <si>
    <t>Glosa: Por venta de freezer a FRIDOZA según factura #008</t>
  </si>
  <si>
    <t>Glosa: pago de publicidad canal UNITEL #05448</t>
  </si>
  <si>
    <t>Glosa: deposito a la cuenta del banco ganadero  según transferencia #001</t>
  </si>
  <si>
    <t>SUELDOS Y SALARIOS</t>
  </si>
  <si>
    <t>Glosa: Pago de sueldos y salarios correspondiente al mes enero 2023</t>
  </si>
  <si>
    <t>Glosa: Por venta de aires AGROPARNER según factura #009</t>
  </si>
  <si>
    <t xml:space="preserve"> 27/01/2023</t>
  </si>
  <si>
    <t>ENERGIA ELECTRICA</t>
  </si>
  <si>
    <t>Glosa: Pago de energia electrica  correspondiente al mes enero 2023</t>
  </si>
  <si>
    <t xml:space="preserve"> 31/01/2023</t>
  </si>
  <si>
    <t>FECHA: 30 DE JUNIO DE 2023</t>
  </si>
  <si>
    <t>FIRMA</t>
  </si>
  <si>
    <t>Nº DE DOCUMENTO DE IDENTIDAD</t>
  </si>
  <si>
    <t>NOMBRE DEL EMPLEADOR O REPRESENTANTE  LEGAL</t>
  </si>
  <si>
    <t>3200134 S.C</t>
  </si>
  <si>
    <t>EDUARDO VARGAS ROMAN</t>
  </si>
  <si>
    <t>TOTALES</t>
  </si>
  <si>
    <t>TRABAJADORES</t>
  </si>
  <si>
    <t>(K)</t>
  </si>
  <si>
    <t>(G)</t>
  </si>
  <si>
    <t>BONOS</t>
  </si>
  <si>
    <t>LES</t>
  </si>
  <si>
    <t>PRODUCC.</t>
  </si>
  <si>
    <t>PAGADO</t>
  </si>
  <si>
    <t>No.</t>
  </si>
  <si>
    <t>OTROS</t>
  </si>
  <si>
    <t>DOMINICA-</t>
  </si>
  <si>
    <t>BONO DE</t>
  </si>
  <si>
    <t>MONTO</t>
  </si>
  <si>
    <t>AGUINALDO</t>
  </si>
  <si>
    <t>TOTAL DCTOS.</t>
  </si>
  <si>
    <t>TOTAL GANADO</t>
  </si>
  <si>
    <t>GESTORA</t>
  </si>
  <si>
    <t>HRS. EXTRAS</t>
  </si>
  <si>
    <t>BONO DE ANTIGÜEDAD</t>
  </si>
  <si>
    <t>HABER BASICO</t>
  </si>
  <si>
    <t>DÍAS PAGADOS MES</t>
  </si>
  <si>
    <t>FECHA DE INGRESO</t>
  </si>
  <si>
    <t>OCUPACIÓN QUE 
DESEMPEÑA</t>
  </si>
  <si>
    <t>SEXO
(F/M)</t>
  </si>
  <si>
    <t>FECHA DE NACIMIENTO</t>
  </si>
  <si>
    <t>NACIONALIDAD</t>
  </si>
  <si>
    <t>APELLIDOS Y NOMBRE</t>
  </si>
  <si>
    <t>CARNET DE IDENTIDAD</t>
  </si>
  <si>
    <t>Nº</t>
  </si>
  <si>
    <t xml:space="preserve">                                                                               CORRESPONDIENTE AL MES DE NOVIEMBRE DE 2023</t>
  </si>
  <si>
    <t>(Expresado en Bolivianos)</t>
  </si>
  <si>
    <t>PERSONAL PERMANENTE</t>
  </si>
  <si>
    <t>PLANILLA DE APORTES PATRONALES Y BENEFICIOS SOCIALES</t>
  </si>
  <si>
    <t>TELEFÓNO</t>
  </si>
  <si>
    <t>DIRECCIÓN</t>
  </si>
  <si>
    <t>NIT</t>
  </si>
  <si>
    <t>Nº EMPLEADOR CAJA DE SALUD</t>
  </si>
  <si>
    <t>NOMBRE O RAZÓN SOCIAL</t>
  </si>
  <si>
    <t xml:space="preserve">Glosa: provision de aportes patronales mes de enero2023 </t>
  </si>
  <si>
    <t>INVENTARIO DE MERCADERIA</t>
  </si>
  <si>
    <t>ALQUILERES PAGADO POR ADELANTADO</t>
  </si>
  <si>
    <t>GASTOS LEGALES.NOTARIALES Y JUDICIALES</t>
  </si>
  <si>
    <t>APORTE PATRONALES GESTORA</t>
  </si>
  <si>
    <t>APORTE PATRONALES GESTORA POR PAGAR</t>
  </si>
  <si>
    <t xml:space="preserve">AGUINALDOS POR PAGAR </t>
  </si>
  <si>
    <t>PREVISION PARA INDEMNIZACION</t>
  </si>
  <si>
    <t>A</t>
  </si>
  <si>
    <t>E</t>
  </si>
  <si>
    <t>P</t>
  </si>
  <si>
    <t>I</t>
  </si>
  <si>
    <t>PAT</t>
  </si>
  <si>
    <t xml:space="preserve"> --------CI-06--------</t>
  </si>
  <si>
    <t xml:space="preserve"> --------CI-07--------</t>
  </si>
  <si>
    <t xml:space="preserve"> --------CI-08--------</t>
  </si>
  <si>
    <t xml:space="preserve"> -----CI-09-----</t>
  </si>
  <si>
    <t xml:space="preserve"> -----CI-10-----</t>
  </si>
  <si>
    <t xml:space="preserve"> -----CT-05-----</t>
  </si>
  <si>
    <t>Distribuidora "DISMACORP"</t>
  </si>
  <si>
    <t>DISTRIBUIDORA "DISMACORP"</t>
  </si>
  <si>
    <t xml:space="preserve"> -----CT-06-----</t>
  </si>
  <si>
    <t xml:space="preserve"> -----CT-07-----</t>
  </si>
  <si>
    <t>Glosa: Por compensacion de IVA</t>
  </si>
  <si>
    <t>DISTRIBUIDORA DISMACORP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</si>
</sst>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11"/>
      <color rgb="FFFF0000"/>
      <name val="Courier New"/>
      <family val="3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9"/>
      <name val="Arial"/>
      <family val="2"/>
    </font>
    <font>
      <sz val="12"/>
      <name val="Arial Narrow"/>
      <family val="2"/>
    </font>
    <font>
      <b/>
      <sz val="14"/>
      <name val="Arial"/>
      <family val="2"/>
    </font>
    <font>
      <sz val="12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6" fillId="0" borderId="0"/>
    <xf numFmtId="9" fontId="5" fillId="0" borderId="0" applyFont="0" applyFill="0" applyBorder="0" applyAlignment="0" applyProtection="0"/>
    <xf numFmtId="0" fontId="7" fillId="0" borderId="0"/>
    <xf numFmtId="9" fontId="5" fillId="0" borderId="0" applyFont="0" applyFill="0" applyBorder="0" applyAlignment="0" applyProtection="0"/>
  </cellStyleXfs>
  <cellXfs count="20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4" fontId="0" fillId="0" borderId="0" xfId="0" applyNumberFormat="1"/>
    <xf numFmtId="4" fontId="1" fillId="0" borderId="0" xfId="0" applyNumberFormat="1" applyFont="1"/>
    <xf numFmtId="4" fontId="0" fillId="0" borderId="2" xfId="0" applyNumberFormat="1" applyBorder="1"/>
    <xf numFmtId="4" fontId="1" fillId="0" borderId="1" xfId="0" applyNumberFormat="1" applyFont="1" applyBorder="1" applyAlignment="1">
      <alignment horizontal="center" vertical="center"/>
    </xf>
    <xf numFmtId="4" fontId="0" fillId="0" borderId="1" xfId="0" applyNumberFormat="1" applyBorder="1"/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0" fontId="1" fillId="3" borderId="5" xfId="0" applyFont="1" applyFill="1" applyBorder="1"/>
    <xf numFmtId="0" fontId="1" fillId="3" borderId="6" xfId="0" applyFont="1" applyFill="1" applyBorder="1"/>
    <xf numFmtId="4" fontId="1" fillId="3" borderId="6" xfId="0" applyNumberFormat="1" applyFont="1" applyFill="1" applyBorder="1"/>
    <xf numFmtId="0" fontId="1" fillId="0" borderId="3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8" fillId="0" borderId="0" xfId="3" applyFont="1"/>
    <xf numFmtId="0" fontId="9" fillId="0" borderId="0" xfId="3" applyFont="1"/>
    <xf numFmtId="0" fontId="10" fillId="0" borderId="0" xfId="0" applyFont="1"/>
    <xf numFmtId="0" fontId="2" fillId="0" borderId="0" xfId="0" applyFont="1"/>
    <xf numFmtId="4" fontId="1" fillId="2" borderId="8" xfId="0" applyNumberFormat="1" applyFont="1" applyFill="1" applyBorder="1"/>
    <xf numFmtId="4" fontId="1" fillId="0" borderId="2" xfId="0" applyNumberFormat="1" applyFont="1" applyBorder="1"/>
    <xf numFmtId="0" fontId="11" fillId="0" borderId="0" xfId="0" applyFont="1"/>
    <xf numFmtId="4" fontId="12" fillId="0" borderId="0" xfId="0" applyNumberFormat="1" applyFont="1"/>
    <xf numFmtId="4" fontId="11" fillId="0" borderId="0" xfId="0" applyNumberFormat="1" applyFont="1"/>
    <xf numFmtId="0" fontId="13" fillId="0" borderId="0" xfId="0" applyFont="1"/>
    <xf numFmtId="4" fontId="1" fillId="0" borderId="8" xfId="0" applyNumberFormat="1" applyFont="1" applyBorder="1"/>
    <xf numFmtId="4" fontId="11" fillId="0" borderId="2" xfId="0" applyNumberFormat="1" applyFont="1" applyBorder="1"/>
    <xf numFmtId="0" fontId="1" fillId="0" borderId="3" xfId="0" applyFont="1" applyBorder="1" applyAlignment="1">
      <alignment horizontal="left" vertical="center"/>
    </xf>
    <xf numFmtId="4" fontId="1" fillId="6" borderId="1" xfId="0" applyNumberFormat="1" applyFont="1" applyFill="1" applyBorder="1" applyAlignment="1">
      <alignment horizontal="center"/>
    </xf>
    <xf numFmtId="4" fontId="0" fillId="6" borderId="1" xfId="0" applyNumberFormat="1" applyFill="1" applyBorder="1"/>
    <xf numFmtId="4" fontId="1" fillId="7" borderId="1" xfId="0" applyNumberFormat="1" applyFont="1" applyFill="1" applyBorder="1" applyAlignment="1">
      <alignment horizontal="center"/>
    </xf>
    <xf numFmtId="4" fontId="0" fillId="7" borderId="1" xfId="0" applyNumberFormat="1" applyFill="1" applyBorder="1"/>
    <xf numFmtId="4" fontId="0" fillId="8" borderId="1" xfId="0" applyNumberFormat="1" applyFill="1" applyBorder="1"/>
    <xf numFmtId="4" fontId="1" fillId="8" borderId="1" xfId="0" applyNumberFormat="1" applyFont="1" applyFill="1" applyBorder="1"/>
    <xf numFmtId="0" fontId="1" fillId="5" borderId="1" xfId="0" applyFont="1" applyFill="1" applyBorder="1" applyAlignment="1">
      <alignment horizontal="center"/>
    </xf>
    <xf numFmtId="4" fontId="0" fillId="9" borderId="1" xfId="0" applyNumberFormat="1" applyFill="1" applyBorder="1"/>
    <xf numFmtId="0" fontId="0" fillId="9" borderId="1" xfId="0" applyFill="1" applyBorder="1"/>
    <xf numFmtId="0" fontId="0" fillId="9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14" fillId="0" borderId="1" xfId="0" applyFont="1" applyBorder="1"/>
    <xf numFmtId="0" fontId="3" fillId="0" borderId="0" xfId="0" applyFont="1"/>
    <xf numFmtId="0" fontId="4" fillId="0" borderId="0" xfId="0" applyFont="1"/>
    <xf numFmtId="4" fontId="0" fillId="0" borderId="10" xfId="0" applyNumberFormat="1" applyBorder="1"/>
    <xf numFmtId="4" fontId="0" fillId="0" borderId="11" xfId="0" applyNumberFormat="1" applyBorder="1"/>
    <xf numFmtId="14" fontId="0" fillId="10" borderId="4" xfId="0" applyNumberFormat="1" applyFill="1" applyBorder="1" applyAlignment="1">
      <alignment horizontal="center" vertical="top"/>
    </xf>
    <xf numFmtId="14" fontId="0" fillId="10" borderId="9" xfId="0" applyNumberFormat="1" applyFill="1" applyBorder="1" applyAlignment="1">
      <alignment horizontal="center" vertical="top"/>
    </xf>
    <xf numFmtId="14" fontId="0" fillId="10" borderId="3" xfId="0" applyNumberFormat="1" applyFill="1" applyBorder="1" applyAlignment="1">
      <alignment horizontal="center" vertical="top"/>
    </xf>
    <xf numFmtId="0" fontId="0" fillId="9" borderId="0" xfId="0" applyFill="1"/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15" fillId="0" borderId="0" xfId="1" applyFont="1"/>
    <xf numFmtId="0" fontId="16" fillId="0" borderId="0" xfId="1" applyFont="1"/>
    <xf numFmtId="0" fontId="17" fillId="0" borderId="0" xfId="1" applyFont="1"/>
    <xf numFmtId="0" fontId="6" fillId="0" borderId="0" xfId="1"/>
    <xf numFmtId="0" fontId="15" fillId="0" borderId="12" xfId="1" applyFont="1" applyBorder="1"/>
    <xf numFmtId="0" fontId="16" fillId="0" borderId="12" xfId="1" applyFont="1" applyBorder="1"/>
    <xf numFmtId="0" fontId="17" fillId="0" borderId="2" xfId="1" applyFont="1" applyBorder="1"/>
    <xf numFmtId="4" fontId="17" fillId="0" borderId="0" xfId="1" applyNumberFormat="1" applyFont="1"/>
    <xf numFmtId="9" fontId="17" fillId="0" borderId="0" xfId="1" applyNumberFormat="1" applyFont="1"/>
    <xf numFmtId="4" fontId="6" fillId="0" borderId="0" xfId="1" applyNumberFormat="1"/>
    <xf numFmtId="0" fontId="15" fillId="0" borderId="0" xfId="1" applyFont="1" applyAlignment="1">
      <alignment horizontal="center" vertical="center"/>
    </xf>
    <xf numFmtId="9" fontId="17" fillId="0" borderId="0" xfId="2" applyFont="1"/>
    <xf numFmtId="4" fontId="17" fillId="11" borderId="13" xfId="1" applyNumberFormat="1" applyFont="1" applyFill="1" applyBorder="1"/>
    <xf numFmtId="4" fontId="17" fillId="12" borderId="13" xfId="1" applyNumberFormat="1" applyFont="1" applyFill="1" applyBorder="1"/>
    <xf numFmtId="4" fontId="17" fillId="0" borderId="13" xfId="1" applyNumberFormat="1" applyFont="1" applyBorder="1"/>
    <xf numFmtId="4" fontId="18" fillId="0" borderId="13" xfId="1" applyNumberFormat="1" applyFont="1" applyBorder="1"/>
    <xf numFmtId="4" fontId="20" fillId="11" borderId="16" xfId="1" applyNumberFormat="1" applyFont="1" applyFill="1" applyBorder="1"/>
    <xf numFmtId="4" fontId="20" fillId="12" borderId="16" xfId="1" applyNumberFormat="1" applyFont="1" applyFill="1" applyBorder="1"/>
    <xf numFmtId="4" fontId="17" fillId="12" borderId="1" xfId="1" applyNumberFormat="1" applyFont="1" applyFill="1" applyBorder="1"/>
    <xf numFmtId="4" fontId="17" fillId="0" borderId="1" xfId="1" applyNumberFormat="1" applyFont="1" applyBorder="1"/>
    <xf numFmtId="4" fontId="20" fillId="0" borderId="16" xfId="1" applyNumberFormat="1" applyFont="1" applyBorder="1"/>
    <xf numFmtId="0" fontId="20" fillId="0" borderId="16" xfId="1" applyFont="1" applyBorder="1" applyAlignment="1">
      <alignment horizontal="center"/>
    </xf>
    <xf numFmtId="0" fontId="20" fillId="0" borderId="16" xfId="1" applyFont="1" applyBorder="1"/>
    <xf numFmtId="0" fontId="20" fillId="0" borderId="20" xfId="1" applyFont="1" applyBorder="1" applyAlignment="1">
      <alignment horizontal="center" vertical="center"/>
    </xf>
    <xf numFmtId="4" fontId="17" fillId="11" borderId="3" xfId="1" applyNumberFormat="1" applyFont="1" applyFill="1" applyBorder="1" applyAlignment="1">
      <alignment horizontal="right"/>
    </xf>
    <xf numFmtId="4" fontId="17" fillId="12" borderId="3" xfId="1" applyNumberFormat="1" applyFont="1" applyFill="1" applyBorder="1" applyAlignment="1">
      <alignment horizontal="right"/>
    </xf>
    <xf numFmtId="4" fontId="17" fillId="0" borderId="4" xfId="1" applyNumberFormat="1" applyFont="1" applyBorder="1"/>
    <xf numFmtId="0" fontId="17" fillId="0" borderId="4" xfId="1" applyFont="1" applyBorder="1" applyAlignment="1">
      <alignment horizontal="center"/>
    </xf>
    <xf numFmtId="14" fontId="17" fillId="0" borderId="4" xfId="1" applyNumberFormat="1" applyFont="1" applyBorder="1"/>
    <xf numFmtId="0" fontId="21" fillId="0" borderId="4" xfId="1" applyFont="1" applyBorder="1"/>
    <xf numFmtId="0" fontId="17" fillId="0" borderId="3" xfId="1" applyFont="1" applyBorder="1"/>
    <xf numFmtId="0" fontId="17" fillId="0" borderId="4" xfId="1" applyFont="1" applyBorder="1"/>
    <xf numFmtId="0" fontId="17" fillId="0" borderId="21" xfId="1" applyFont="1" applyBorder="1" applyAlignment="1">
      <alignment horizontal="center"/>
    </xf>
    <xf numFmtId="9" fontId="0" fillId="0" borderId="0" xfId="0" applyNumberFormat="1"/>
    <xf numFmtId="4" fontId="17" fillId="0" borderId="3" xfId="1" applyNumberFormat="1" applyFont="1" applyBorder="1"/>
    <xf numFmtId="0" fontId="17" fillId="0" borderId="3" xfId="1" applyFont="1" applyBorder="1" applyAlignment="1">
      <alignment horizontal="center"/>
    </xf>
    <xf numFmtId="14" fontId="17" fillId="0" borderId="3" xfId="1" applyNumberFormat="1" applyFont="1" applyBorder="1"/>
    <xf numFmtId="0" fontId="21" fillId="0" borderId="3" xfId="1" applyFont="1" applyBorder="1"/>
    <xf numFmtId="0" fontId="17" fillId="0" borderId="24" xfId="1" applyFont="1" applyBorder="1" applyAlignment="1">
      <alignment horizontal="center"/>
    </xf>
    <xf numFmtId="4" fontId="20" fillId="11" borderId="25" xfId="1" applyNumberFormat="1" applyFont="1" applyFill="1" applyBorder="1"/>
    <xf numFmtId="4" fontId="20" fillId="12" borderId="25" xfId="1" applyNumberFormat="1" applyFont="1" applyFill="1" applyBorder="1"/>
    <xf numFmtId="4" fontId="17" fillId="12" borderId="25" xfId="1" applyNumberFormat="1" applyFont="1" applyFill="1" applyBorder="1"/>
    <xf numFmtId="4" fontId="20" fillId="0" borderId="25" xfId="1" applyNumberFormat="1" applyFont="1" applyBorder="1"/>
    <xf numFmtId="0" fontId="20" fillId="0" borderId="25" xfId="1" applyFont="1" applyBorder="1" applyAlignment="1">
      <alignment horizontal="center"/>
    </xf>
    <xf numFmtId="0" fontId="20" fillId="0" borderId="25" xfId="1" applyFont="1" applyBorder="1"/>
    <xf numFmtId="0" fontId="20" fillId="0" borderId="29" xfId="1" applyFont="1" applyBorder="1" applyAlignment="1">
      <alignment horizontal="center" vertical="center"/>
    </xf>
    <xf numFmtId="10" fontId="16" fillId="11" borderId="30" xfId="4" applyNumberFormat="1" applyFont="1" applyFill="1" applyBorder="1" applyAlignment="1">
      <alignment horizontal="center"/>
    </xf>
    <xf numFmtId="9" fontId="16" fillId="12" borderId="30" xfId="1" applyNumberFormat="1" applyFont="1" applyFill="1" applyBorder="1" applyAlignment="1">
      <alignment horizontal="center"/>
    </xf>
    <xf numFmtId="0" fontId="16" fillId="12" borderId="30" xfId="1" applyFont="1" applyFill="1" applyBorder="1" applyAlignment="1">
      <alignment horizontal="center"/>
    </xf>
    <xf numFmtId="10" fontId="16" fillId="12" borderId="30" xfId="1" applyNumberFormat="1" applyFont="1" applyFill="1" applyBorder="1" applyAlignment="1">
      <alignment horizontal="center"/>
    </xf>
    <xf numFmtId="0" fontId="16" fillId="0" borderId="30" xfId="1" applyFont="1" applyBorder="1" applyAlignment="1">
      <alignment horizontal="center"/>
    </xf>
    <xf numFmtId="0" fontId="16" fillId="0" borderId="0" xfId="1" applyFont="1" applyAlignment="1">
      <alignment horizontal="center"/>
    </xf>
    <xf numFmtId="0" fontId="16" fillId="0" borderId="31" xfId="1" applyFont="1" applyBorder="1" applyAlignment="1">
      <alignment horizontal="center"/>
    </xf>
    <xf numFmtId="0" fontId="16" fillId="0" borderId="33" xfId="1" applyFont="1" applyBorder="1" applyAlignment="1">
      <alignment horizontal="center" vertical="center"/>
    </xf>
    <xf numFmtId="0" fontId="16" fillId="0" borderId="34" xfId="1" applyFont="1" applyBorder="1" applyAlignment="1">
      <alignment horizontal="center" vertical="center"/>
    </xf>
    <xf numFmtId="0" fontId="16" fillId="0" borderId="35" xfId="1" applyFont="1" applyBorder="1" applyAlignment="1">
      <alignment horizontal="center"/>
    </xf>
    <xf numFmtId="0" fontId="16" fillId="0" borderId="34" xfId="1" applyFont="1" applyBorder="1" applyAlignment="1">
      <alignment horizontal="center"/>
    </xf>
    <xf numFmtId="0" fontId="17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15" fillId="0" borderId="0" xfId="0" applyFont="1"/>
    <xf numFmtId="0" fontId="17" fillId="0" borderId="0" xfId="1" applyFont="1" applyAlignment="1">
      <alignment horizontal="left"/>
    </xf>
    <xf numFmtId="0" fontId="23" fillId="0" borderId="0" xfId="1" applyFont="1"/>
    <xf numFmtId="4" fontId="0" fillId="13" borderId="0" xfId="0" applyNumberFormat="1" applyFill="1"/>
    <xf numFmtId="4" fontId="1" fillId="13" borderId="0" xfId="0" applyNumberFormat="1" applyFont="1" applyFill="1"/>
    <xf numFmtId="4" fontId="1" fillId="10" borderId="0" xfId="0" applyNumberFormat="1" applyFont="1" applyFill="1"/>
    <xf numFmtId="4" fontId="0" fillId="0" borderId="22" xfId="0" applyNumberFormat="1" applyBorder="1"/>
    <xf numFmtId="4" fontId="0" fillId="0" borderId="23" xfId="0" applyNumberFormat="1" applyBorder="1"/>
    <xf numFmtId="4" fontId="1" fillId="13" borderId="11" xfId="0" applyNumberFormat="1" applyFont="1" applyFill="1" applyBorder="1"/>
    <xf numFmtId="4" fontId="0" fillId="9" borderId="0" xfId="0" applyNumberFormat="1" applyFill="1"/>
    <xf numFmtId="0" fontId="1" fillId="0" borderId="0" xfId="0" applyFont="1" applyAlignment="1">
      <alignment horizontal="center"/>
    </xf>
    <xf numFmtId="14" fontId="0" fillId="10" borderId="4" xfId="0" applyNumberFormat="1" applyFill="1" applyBorder="1" applyAlignment="1">
      <alignment horizontal="center" vertical="top"/>
    </xf>
    <xf numFmtId="14" fontId="0" fillId="10" borderId="9" xfId="0" applyNumberFormat="1" applyFill="1" applyBorder="1" applyAlignment="1">
      <alignment horizontal="center" vertical="top"/>
    </xf>
    <xf numFmtId="14" fontId="0" fillId="10" borderId="3" xfId="0" applyNumberFormat="1" applyFill="1" applyBorder="1" applyAlignment="1">
      <alignment horizontal="center" vertical="top"/>
    </xf>
    <xf numFmtId="14" fontId="0" fillId="5" borderId="1" xfId="0" applyNumberFormat="1" applyFill="1" applyBorder="1" applyAlignment="1">
      <alignment horizontal="center" vertical="top"/>
    </xf>
    <xf numFmtId="14" fontId="0" fillId="5" borderId="4" xfId="0" applyNumberFormat="1" applyFill="1" applyBorder="1" applyAlignment="1">
      <alignment horizontal="center" vertical="top"/>
    </xf>
    <xf numFmtId="14" fontId="0" fillId="5" borderId="9" xfId="0" applyNumberFormat="1" applyFill="1" applyBorder="1" applyAlignment="1">
      <alignment horizontal="center" vertical="top"/>
    </xf>
    <xf numFmtId="14" fontId="0" fillId="5" borderId="3" xfId="0" applyNumberFormat="1" applyFill="1" applyBorder="1" applyAlignment="1">
      <alignment horizontal="center" vertical="top"/>
    </xf>
    <xf numFmtId="14" fontId="0" fillId="5" borderId="4" xfId="0" applyNumberFormat="1" applyFill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top"/>
    </xf>
    <xf numFmtId="0" fontId="0" fillId="5" borderId="4" xfId="0" applyFill="1" applyBorder="1" applyAlignment="1">
      <alignment horizontal="center" vertical="top"/>
    </xf>
    <xf numFmtId="0" fontId="0" fillId="5" borderId="9" xfId="0" applyFill="1" applyBorder="1" applyAlignment="1">
      <alignment horizontal="center" vertical="top"/>
    </xf>
    <xf numFmtId="0" fontId="0" fillId="5" borderId="3" xfId="0" applyFill="1" applyBorder="1" applyAlignment="1">
      <alignment horizontal="center" vertical="top"/>
    </xf>
    <xf numFmtId="4" fontId="0" fillId="2" borderId="2" xfId="0" applyNumberFormat="1" applyFill="1" applyBorder="1" applyAlignment="1">
      <alignment horizontal="center"/>
    </xf>
    <xf numFmtId="4" fontId="13" fillId="2" borderId="2" xfId="0" applyNumberFormat="1" applyFont="1" applyFill="1" applyBorder="1" applyAlignment="1">
      <alignment horizontal="center"/>
    </xf>
    <xf numFmtId="4" fontId="3" fillId="2" borderId="2" xfId="0" applyNumberFormat="1" applyFont="1" applyFill="1" applyBorder="1" applyAlignment="1">
      <alignment horizontal="center"/>
    </xf>
    <xf numFmtId="4" fontId="14" fillId="2" borderId="2" xfId="0" applyNumberFormat="1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" fontId="1" fillId="6" borderId="1" xfId="0" applyNumberFormat="1" applyFont="1" applyFill="1" applyBorder="1" applyAlignment="1">
      <alignment horizontal="center"/>
    </xf>
    <xf numFmtId="4" fontId="1" fillId="7" borderId="1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0" fontId="16" fillId="0" borderId="12" xfId="1" applyFont="1" applyBorder="1" applyAlignment="1">
      <alignment horizontal="center"/>
    </xf>
    <xf numFmtId="0" fontId="17" fillId="0" borderId="5" xfId="1" applyFont="1" applyBorder="1" applyAlignment="1">
      <alignment horizontal="left"/>
    </xf>
    <xf numFmtId="0" fontId="17" fillId="0" borderId="6" xfId="1" applyFont="1" applyBorder="1" applyAlignment="1">
      <alignment horizontal="left"/>
    </xf>
    <xf numFmtId="0" fontId="17" fillId="0" borderId="7" xfId="1" applyFont="1" applyBorder="1" applyAlignment="1">
      <alignment horizontal="left"/>
    </xf>
    <xf numFmtId="0" fontId="20" fillId="0" borderId="19" xfId="1" applyFont="1" applyBorder="1" applyAlignment="1">
      <alignment horizontal="left"/>
    </xf>
    <xf numFmtId="0" fontId="20" fillId="0" borderId="18" xfId="1" applyFont="1" applyBorder="1" applyAlignment="1">
      <alignment horizontal="left"/>
    </xf>
    <xf numFmtId="0" fontId="20" fillId="0" borderId="17" xfId="1" applyFont="1" applyBorder="1" applyAlignment="1">
      <alignment horizontal="left"/>
    </xf>
    <xf numFmtId="0" fontId="19" fillId="0" borderId="15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/>
    </xf>
    <xf numFmtId="0" fontId="16" fillId="0" borderId="0" xfId="1" applyFont="1" applyAlignment="1">
      <alignment horizontal="center"/>
    </xf>
    <xf numFmtId="0" fontId="16" fillId="12" borderId="35" xfId="1" applyFont="1" applyFill="1" applyBorder="1" applyAlignment="1">
      <alignment horizontal="center" vertical="center" wrapText="1"/>
    </xf>
    <xf numFmtId="0" fontId="16" fillId="12" borderId="30" xfId="1" applyFont="1" applyFill="1" applyBorder="1" applyAlignment="1">
      <alignment horizontal="center" vertical="center" wrapText="1"/>
    </xf>
    <xf numFmtId="0" fontId="6" fillId="12" borderId="30" xfId="1" applyFill="1" applyBorder="1" applyAlignment="1">
      <alignment horizontal="center" vertical="center" wrapText="1"/>
    </xf>
    <xf numFmtId="0" fontId="16" fillId="0" borderId="35" xfId="1" applyFont="1" applyBorder="1" applyAlignment="1">
      <alignment horizontal="center" vertical="center" wrapText="1"/>
    </xf>
    <xf numFmtId="0" fontId="16" fillId="0" borderId="30" xfId="1" applyFont="1" applyBorder="1" applyAlignment="1">
      <alignment horizontal="center" vertical="center"/>
    </xf>
    <xf numFmtId="0" fontId="16" fillId="0" borderId="30" xfId="1" applyFont="1" applyBorder="1" applyAlignment="1">
      <alignment horizontal="center" vertical="center" wrapText="1"/>
    </xf>
    <xf numFmtId="0" fontId="6" fillId="0" borderId="30" xfId="1" applyBorder="1" applyAlignment="1">
      <alignment horizontal="center" vertical="center" wrapText="1"/>
    </xf>
    <xf numFmtId="0" fontId="16" fillId="0" borderId="36" xfId="1" applyFont="1" applyBorder="1" applyAlignment="1">
      <alignment horizontal="center" vertical="center" wrapText="1"/>
    </xf>
    <xf numFmtId="0" fontId="6" fillId="0" borderId="32" xfId="1" applyBorder="1" applyAlignment="1">
      <alignment horizontal="center" vertical="center" wrapText="1"/>
    </xf>
    <xf numFmtId="0" fontId="20" fillId="0" borderId="28" xfId="1" applyFont="1" applyBorder="1" applyAlignment="1">
      <alignment horizontal="left"/>
    </xf>
    <xf numFmtId="0" fontId="20" fillId="0" borderId="27" xfId="1" applyFont="1" applyBorder="1" applyAlignment="1">
      <alignment horizontal="left"/>
    </xf>
    <xf numFmtId="0" fontId="20" fillId="0" borderId="26" xfId="1" applyFont="1" applyBorder="1" applyAlignment="1">
      <alignment horizontal="left"/>
    </xf>
    <xf numFmtId="0" fontId="17" fillId="0" borderId="23" xfId="1" applyFont="1" applyBorder="1" applyAlignment="1">
      <alignment horizontal="left"/>
    </xf>
    <xf numFmtId="0" fontId="17" fillId="0" borderId="2" xfId="1" applyFont="1" applyBorder="1" applyAlignment="1">
      <alignment horizontal="left"/>
    </xf>
    <xf numFmtId="0" fontId="17" fillId="0" borderId="22" xfId="1" applyFont="1" applyBorder="1" applyAlignment="1">
      <alignment horizontal="left"/>
    </xf>
    <xf numFmtId="0" fontId="16" fillId="11" borderId="35" xfId="1" applyFont="1" applyFill="1" applyBorder="1" applyAlignment="1">
      <alignment horizontal="center" vertical="center" wrapText="1"/>
    </xf>
    <xf numFmtId="0" fontId="6" fillId="11" borderId="30" xfId="1" applyFill="1" applyBorder="1" applyAlignment="1">
      <alignment horizontal="center" vertical="center" wrapText="1"/>
    </xf>
    <xf numFmtId="0" fontId="16" fillId="0" borderId="33" xfId="1" applyFont="1" applyBorder="1" applyAlignment="1">
      <alignment horizontal="center"/>
    </xf>
    <xf numFmtId="0" fontId="16" fillId="0" borderId="34" xfId="1" applyFont="1" applyBorder="1" applyAlignment="1">
      <alignment horizontal="center"/>
    </xf>
    <xf numFmtId="0" fontId="16" fillId="0" borderId="33" xfId="1" applyFont="1" applyBorder="1" applyAlignment="1">
      <alignment horizontal="center" vertical="center"/>
    </xf>
    <xf numFmtId="0" fontId="17" fillId="0" borderId="0" xfId="1" applyFont="1" applyAlignment="1">
      <alignment horizontal="left"/>
    </xf>
    <xf numFmtId="0" fontId="22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0" fontId="16" fillId="0" borderId="36" xfId="1" applyFont="1" applyBorder="1" applyAlignment="1">
      <alignment horizontal="center" vertical="center"/>
    </xf>
    <xf numFmtId="0" fontId="16" fillId="0" borderId="32" xfId="1" applyFont="1" applyBorder="1" applyAlignment="1">
      <alignment horizontal="center" vertical="center"/>
    </xf>
    <xf numFmtId="0" fontId="16" fillId="0" borderId="32" xfId="1" applyFont="1" applyBorder="1" applyAlignment="1">
      <alignment horizontal="center" vertical="center" wrapText="1"/>
    </xf>
    <xf numFmtId="0" fontId="16" fillId="0" borderId="34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6" fillId="0" borderId="31" xfId="1" applyFont="1" applyBorder="1" applyAlignment="1">
      <alignment horizontal="center" vertical="center"/>
    </xf>
    <xf numFmtId="4" fontId="0" fillId="0" borderId="0" xfId="0" applyNumberFormat="1" applyBorder="1"/>
    <xf numFmtId="4" fontId="0" fillId="0" borderId="0" xfId="0" applyNumberFormat="1" applyFill="1" applyBorder="1" applyAlignment="1">
      <alignment horizontal="center"/>
    </xf>
    <xf numFmtId="4" fontId="1" fillId="0" borderId="0" xfId="0" applyNumberFormat="1" applyFont="1" applyFill="1" applyBorder="1"/>
    <xf numFmtId="4" fontId="0" fillId="0" borderId="1" xfId="0" applyNumberFormat="1" applyBorder="1" applyAlignment="1">
      <alignment horizontal="right"/>
    </xf>
    <xf numFmtId="4" fontId="0" fillId="0" borderId="1" xfId="0" applyNumberFormat="1" applyFont="1" applyFill="1" applyBorder="1"/>
    <xf numFmtId="0" fontId="0" fillId="0" borderId="1" xfId="0" applyFont="1" applyBorder="1"/>
    <xf numFmtId="0" fontId="0" fillId="0" borderId="0" xfId="0" applyFont="1" applyBorder="1" applyAlignment="1">
      <alignment horizontal="left" vertical="center"/>
    </xf>
  </cellXfs>
  <cellStyles count="5">
    <cellStyle name="Normal" xfId="0" builtinId="0"/>
    <cellStyle name="Normal 2" xfId="1" xr:uid="{00000000-0005-0000-0000-000001000000}"/>
    <cellStyle name="Normal 3" xfId="3" xr:uid="{6EFACD45-18EB-4E80-B998-41D4BFD013D8}"/>
    <cellStyle name="Porcentaje" xfId="4" builtinId="5"/>
    <cellStyle name="Porcentaje 2" xfId="2" xr:uid="{00000000-0005-0000-0000-000003000000}"/>
  </cellStyles>
  <dxfs count="0"/>
  <tableStyles count="0" defaultTableStyle="TableStyleMedium2" defaultPivotStyle="PivotStyleLight16"/>
  <colors>
    <mruColors>
      <color rgb="FF339933"/>
      <color rgb="FFFF9999"/>
      <color rgb="FFCC9900"/>
      <color rgb="FFFF9966"/>
      <color rgb="FF33CCCC"/>
      <color rgb="FFFF505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6187-FFDA-48C4-98CB-481D7B8B3C89}">
  <dimension ref="A1:C270"/>
  <sheetViews>
    <sheetView topLeftCell="A6" zoomScale="145" workbookViewId="0">
      <selection activeCell="C12" sqref="C12"/>
    </sheetView>
  </sheetViews>
  <sheetFormatPr baseColWidth="10" defaultColWidth="11.42578125" defaultRowHeight="11.25" x14ac:dyDescent="0.2"/>
  <cols>
    <col min="1" max="1" width="6.85546875" style="17" customWidth="1"/>
    <col min="2" max="2" width="11" style="17" customWidth="1"/>
    <col min="3" max="3" width="40.5703125" style="17" customWidth="1"/>
    <col min="4" max="16384" width="11.42578125" style="17"/>
  </cols>
  <sheetData>
    <row r="1" spans="1:3" x14ac:dyDescent="0.2">
      <c r="B1" s="17" t="s">
        <v>576</v>
      </c>
      <c r="C1" s="17" t="s">
        <v>575</v>
      </c>
    </row>
    <row r="2" spans="1:3" x14ac:dyDescent="0.2">
      <c r="A2" s="17" t="s">
        <v>52</v>
      </c>
      <c r="B2" s="17" t="s">
        <v>574</v>
      </c>
      <c r="C2" s="17" t="s">
        <v>0</v>
      </c>
    </row>
    <row r="3" spans="1:3" x14ac:dyDescent="0.2">
      <c r="A3" s="17" t="s">
        <v>52</v>
      </c>
      <c r="B3" s="17" t="s">
        <v>573</v>
      </c>
      <c r="C3" s="17" t="s">
        <v>572</v>
      </c>
    </row>
    <row r="4" spans="1:3" x14ac:dyDescent="0.2">
      <c r="A4" s="17" t="s">
        <v>52</v>
      </c>
      <c r="B4" s="17" t="s">
        <v>571</v>
      </c>
      <c r="C4" s="17" t="s">
        <v>570</v>
      </c>
    </row>
    <row r="5" spans="1:3" x14ac:dyDescent="0.2">
      <c r="A5" s="17" t="s">
        <v>52</v>
      </c>
      <c r="B5" s="17" t="s">
        <v>569</v>
      </c>
      <c r="C5" s="17" t="s">
        <v>568</v>
      </c>
    </row>
    <row r="6" spans="1:3" x14ac:dyDescent="0.2">
      <c r="A6" s="17" t="s">
        <v>52</v>
      </c>
      <c r="B6" s="17" t="s">
        <v>567</v>
      </c>
      <c r="C6" s="18" t="s">
        <v>566</v>
      </c>
    </row>
    <row r="7" spans="1:3" x14ac:dyDescent="0.2">
      <c r="A7" s="17" t="s">
        <v>52</v>
      </c>
      <c r="B7" s="17" t="s">
        <v>565</v>
      </c>
      <c r="C7" s="17" t="s">
        <v>564</v>
      </c>
    </row>
    <row r="8" spans="1:3" x14ac:dyDescent="0.2">
      <c r="A8" s="17" t="s">
        <v>52</v>
      </c>
      <c r="B8" s="17" t="s">
        <v>563</v>
      </c>
      <c r="C8" s="17" t="s">
        <v>562</v>
      </c>
    </row>
    <row r="9" spans="1:3" x14ac:dyDescent="0.2">
      <c r="A9" s="17" t="s">
        <v>52</v>
      </c>
      <c r="B9" s="17" t="s">
        <v>561</v>
      </c>
      <c r="C9" s="17" t="s">
        <v>560</v>
      </c>
    </row>
    <row r="10" spans="1:3" x14ac:dyDescent="0.2">
      <c r="A10" s="17" t="s">
        <v>52</v>
      </c>
      <c r="B10" s="17" t="s">
        <v>559</v>
      </c>
      <c r="C10" s="17" t="s">
        <v>558</v>
      </c>
    </row>
    <row r="11" spans="1:3" x14ac:dyDescent="0.2">
      <c r="A11" s="17" t="s">
        <v>52</v>
      </c>
      <c r="B11" s="17" t="s">
        <v>557</v>
      </c>
      <c r="C11" s="17" t="s">
        <v>556</v>
      </c>
    </row>
    <row r="12" spans="1:3" x14ac:dyDescent="0.2">
      <c r="A12" s="17" t="s">
        <v>52</v>
      </c>
      <c r="B12" s="17" t="s">
        <v>555</v>
      </c>
      <c r="C12" s="17" t="s">
        <v>554</v>
      </c>
    </row>
    <row r="13" spans="1:3" x14ac:dyDescent="0.2">
      <c r="A13" s="17" t="s">
        <v>52</v>
      </c>
      <c r="B13" s="17" t="s">
        <v>553</v>
      </c>
      <c r="C13" s="17" t="s">
        <v>552</v>
      </c>
    </row>
    <row r="14" spans="1:3" x14ac:dyDescent="0.2">
      <c r="A14" s="17" t="s">
        <v>52</v>
      </c>
      <c r="B14" s="17" t="s">
        <v>551</v>
      </c>
      <c r="C14" s="17" t="s">
        <v>550</v>
      </c>
    </row>
    <row r="15" spans="1:3" x14ac:dyDescent="0.2">
      <c r="A15" s="17" t="s">
        <v>52</v>
      </c>
      <c r="B15" s="17" t="s">
        <v>549</v>
      </c>
      <c r="C15" s="17" t="s">
        <v>548</v>
      </c>
    </row>
    <row r="16" spans="1:3" x14ac:dyDescent="0.2">
      <c r="A16" s="17" t="s">
        <v>52</v>
      </c>
      <c r="B16" s="17" t="s">
        <v>547</v>
      </c>
      <c r="C16" s="17" t="s">
        <v>546</v>
      </c>
    </row>
    <row r="17" spans="1:3" x14ac:dyDescent="0.2">
      <c r="A17" s="17" t="s">
        <v>52</v>
      </c>
      <c r="B17" s="17" t="s">
        <v>545</v>
      </c>
      <c r="C17" s="17" t="s">
        <v>544</v>
      </c>
    </row>
    <row r="18" spans="1:3" x14ac:dyDescent="0.2">
      <c r="A18" s="17" t="s">
        <v>52</v>
      </c>
      <c r="B18" s="17" t="s">
        <v>543</v>
      </c>
      <c r="C18" s="17" t="s">
        <v>542</v>
      </c>
    </row>
    <row r="19" spans="1:3" x14ac:dyDescent="0.2">
      <c r="A19" s="17" t="s">
        <v>52</v>
      </c>
      <c r="B19" s="17" t="s">
        <v>541</v>
      </c>
      <c r="C19" s="17" t="s">
        <v>540</v>
      </c>
    </row>
    <row r="20" spans="1:3" x14ac:dyDescent="0.2">
      <c r="A20" s="17" t="s">
        <v>52</v>
      </c>
      <c r="B20" s="17" t="s">
        <v>539</v>
      </c>
      <c r="C20" s="17" t="s">
        <v>538</v>
      </c>
    </row>
    <row r="21" spans="1:3" x14ac:dyDescent="0.2">
      <c r="A21" s="17" t="s">
        <v>52</v>
      </c>
      <c r="B21" s="17" t="s">
        <v>537</v>
      </c>
      <c r="C21" s="17" t="s">
        <v>536</v>
      </c>
    </row>
    <row r="22" spans="1:3" x14ac:dyDescent="0.2">
      <c r="A22" s="17" t="s">
        <v>52</v>
      </c>
      <c r="B22" s="17" t="s">
        <v>535</v>
      </c>
      <c r="C22" s="17" t="s">
        <v>534</v>
      </c>
    </row>
    <row r="23" spans="1:3" x14ac:dyDescent="0.2">
      <c r="A23" s="17" t="s">
        <v>52</v>
      </c>
      <c r="B23" s="17" t="s">
        <v>533</v>
      </c>
      <c r="C23" s="17" t="s">
        <v>511</v>
      </c>
    </row>
    <row r="24" spans="1:3" x14ac:dyDescent="0.2">
      <c r="A24" s="17" t="s">
        <v>52</v>
      </c>
      <c r="B24" s="17" t="s">
        <v>532</v>
      </c>
      <c r="C24" s="17" t="s">
        <v>531</v>
      </c>
    </row>
    <row r="25" spans="1:3" x14ac:dyDescent="0.2">
      <c r="A25" s="17" t="s">
        <v>52</v>
      </c>
      <c r="B25" s="17" t="s">
        <v>530</v>
      </c>
      <c r="C25" s="17" t="s">
        <v>529</v>
      </c>
    </row>
    <row r="26" spans="1:3" x14ac:dyDescent="0.2">
      <c r="A26" s="17" t="s">
        <v>52</v>
      </c>
      <c r="B26" s="17" t="s">
        <v>528</v>
      </c>
      <c r="C26" s="17" t="s">
        <v>527</v>
      </c>
    </row>
    <row r="27" spans="1:3" x14ac:dyDescent="0.2">
      <c r="A27" s="17" t="s">
        <v>52</v>
      </c>
      <c r="B27" s="17" t="s">
        <v>526</v>
      </c>
      <c r="C27" s="17" t="s">
        <v>525</v>
      </c>
    </row>
    <row r="28" spans="1:3" x14ac:dyDescent="0.2">
      <c r="A28" s="17" t="s">
        <v>52</v>
      </c>
      <c r="B28" s="17" t="s">
        <v>524</v>
      </c>
      <c r="C28" s="17" t="s">
        <v>523</v>
      </c>
    </row>
    <row r="29" spans="1:3" x14ac:dyDescent="0.2">
      <c r="A29" s="17" t="s">
        <v>52</v>
      </c>
      <c r="B29" s="17" t="s">
        <v>522</v>
      </c>
      <c r="C29" s="17" t="s">
        <v>521</v>
      </c>
    </row>
    <row r="30" spans="1:3" x14ac:dyDescent="0.2">
      <c r="A30" s="17" t="s">
        <v>52</v>
      </c>
      <c r="B30" s="17" t="s">
        <v>520</v>
      </c>
      <c r="C30" s="17" t="s">
        <v>519</v>
      </c>
    </row>
    <row r="31" spans="1:3" x14ac:dyDescent="0.2">
      <c r="A31" s="17" t="s">
        <v>52</v>
      </c>
      <c r="B31" s="17" t="s">
        <v>518</v>
      </c>
      <c r="C31" s="17" t="s">
        <v>517</v>
      </c>
    </row>
    <row r="32" spans="1:3" x14ac:dyDescent="0.2">
      <c r="A32" s="17" t="s">
        <v>52</v>
      </c>
      <c r="B32" s="17" t="s">
        <v>516</v>
      </c>
      <c r="C32" s="17" t="s">
        <v>515</v>
      </c>
    </row>
    <row r="33" spans="1:3" x14ac:dyDescent="0.2">
      <c r="A33" s="17" t="s">
        <v>52</v>
      </c>
      <c r="B33" s="17" t="s">
        <v>514</v>
      </c>
      <c r="C33" s="17" t="s">
        <v>513</v>
      </c>
    </row>
    <row r="34" spans="1:3" x14ac:dyDescent="0.2">
      <c r="A34" s="17" t="s">
        <v>52</v>
      </c>
      <c r="B34" s="17" t="s">
        <v>512</v>
      </c>
      <c r="C34" s="17" t="s">
        <v>511</v>
      </c>
    </row>
    <row r="35" spans="1:3" x14ac:dyDescent="0.2">
      <c r="A35" s="17" t="s">
        <v>52</v>
      </c>
      <c r="B35" s="17" t="s">
        <v>510</v>
      </c>
      <c r="C35" s="17" t="s">
        <v>509</v>
      </c>
    </row>
    <row r="36" spans="1:3" x14ac:dyDescent="0.2">
      <c r="A36" s="17" t="s">
        <v>52</v>
      </c>
      <c r="B36" s="17" t="s">
        <v>508</v>
      </c>
      <c r="C36" s="17" t="s">
        <v>507</v>
      </c>
    </row>
    <row r="37" spans="1:3" x14ac:dyDescent="0.2">
      <c r="A37" s="17" t="s">
        <v>52</v>
      </c>
      <c r="B37" s="17" t="s">
        <v>506</v>
      </c>
      <c r="C37" s="17" t="s">
        <v>505</v>
      </c>
    </row>
    <row r="38" spans="1:3" x14ac:dyDescent="0.2">
      <c r="A38" s="17" t="s">
        <v>52</v>
      </c>
      <c r="B38" s="17" t="s">
        <v>504</v>
      </c>
      <c r="C38" s="17" t="s">
        <v>503</v>
      </c>
    </row>
    <row r="39" spans="1:3" x14ac:dyDescent="0.2">
      <c r="A39" s="17" t="s">
        <v>52</v>
      </c>
      <c r="B39" s="17" t="s">
        <v>502</v>
      </c>
      <c r="C39" s="17" t="s">
        <v>478</v>
      </c>
    </row>
    <row r="40" spans="1:3" x14ac:dyDescent="0.2">
      <c r="A40" s="17" t="s">
        <v>52</v>
      </c>
      <c r="B40" s="17" t="s">
        <v>501</v>
      </c>
      <c r="C40" s="17" t="s">
        <v>500</v>
      </c>
    </row>
    <row r="41" spans="1:3" x14ac:dyDescent="0.2">
      <c r="A41" s="17" t="s">
        <v>52</v>
      </c>
      <c r="B41" s="17" t="s">
        <v>499</v>
      </c>
      <c r="C41" s="17" t="s">
        <v>498</v>
      </c>
    </row>
    <row r="42" spans="1:3" x14ac:dyDescent="0.2">
      <c r="A42" s="17" t="s">
        <v>52</v>
      </c>
      <c r="B42" s="17" t="s">
        <v>497</v>
      </c>
      <c r="C42" s="17" t="s">
        <v>496</v>
      </c>
    </row>
    <row r="43" spans="1:3" x14ac:dyDescent="0.2">
      <c r="A43" s="17" t="s">
        <v>52</v>
      </c>
      <c r="B43" s="17" t="s">
        <v>495</v>
      </c>
      <c r="C43" s="17" t="s">
        <v>494</v>
      </c>
    </row>
    <row r="44" spans="1:3" x14ac:dyDescent="0.2">
      <c r="A44" s="17" t="s">
        <v>52</v>
      </c>
      <c r="B44" s="17" t="s">
        <v>493</v>
      </c>
      <c r="C44" s="17" t="s">
        <v>492</v>
      </c>
    </row>
    <row r="45" spans="1:3" x14ac:dyDescent="0.2">
      <c r="A45" s="17" t="s">
        <v>52</v>
      </c>
      <c r="B45" s="17" t="s">
        <v>491</v>
      </c>
      <c r="C45" s="17" t="s">
        <v>490</v>
      </c>
    </row>
    <row r="46" spans="1:3" x14ac:dyDescent="0.2">
      <c r="A46" s="17" t="s">
        <v>52</v>
      </c>
      <c r="B46" s="17" t="s">
        <v>489</v>
      </c>
      <c r="C46" s="17" t="s">
        <v>488</v>
      </c>
    </row>
    <row r="47" spans="1:3" x14ac:dyDescent="0.2">
      <c r="A47" s="17" t="s">
        <v>52</v>
      </c>
      <c r="B47" s="17" t="s">
        <v>487</v>
      </c>
      <c r="C47" s="17" t="s">
        <v>486</v>
      </c>
    </row>
    <row r="48" spans="1:3" x14ac:dyDescent="0.2">
      <c r="A48" s="17" t="s">
        <v>52</v>
      </c>
      <c r="B48" s="17" t="s">
        <v>485</v>
      </c>
      <c r="C48" s="17" t="s">
        <v>484</v>
      </c>
    </row>
    <row r="49" spans="1:3" x14ac:dyDescent="0.2">
      <c r="A49" s="17" t="s">
        <v>52</v>
      </c>
      <c r="B49" s="17" t="s">
        <v>483</v>
      </c>
      <c r="C49" s="17" t="s">
        <v>482</v>
      </c>
    </row>
    <row r="50" spans="1:3" x14ac:dyDescent="0.2">
      <c r="A50" s="17" t="s">
        <v>52</v>
      </c>
      <c r="B50" s="17" t="s">
        <v>481</v>
      </c>
      <c r="C50" s="17" t="s">
        <v>480</v>
      </c>
    </row>
    <row r="51" spans="1:3" x14ac:dyDescent="0.2">
      <c r="A51" s="17" t="s">
        <v>52</v>
      </c>
      <c r="B51" s="17" t="s">
        <v>479</v>
      </c>
      <c r="C51" s="17" t="s">
        <v>478</v>
      </c>
    </row>
    <row r="52" spans="1:3" x14ac:dyDescent="0.2">
      <c r="A52" s="17" t="s">
        <v>52</v>
      </c>
      <c r="B52" s="17" t="s">
        <v>477</v>
      </c>
      <c r="C52" s="17" t="s">
        <v>476</v>
      </c>
    </row>
    <row r="53" spans="1:3" x14ac:dyDescent="0.2">
      <c r="A53" s="17" t="s">
        <v>52</v>
      </c>
      <c r="B53" s="17" t="s">
        <v>475</v>
      </c>
      <c r="C53" s="17" t="s">
        <v>474</v>
      </c>
    </row>
    <row r="54" spans="1:3" x14ac:dyDescent="0.2">
      <c r="A54" s="17" t="s">
        <v>52</v>
      </c>
      <c r="B54" s="17" t="s">
        <v>473</v>
      </c>
      <c r="C54" s="17" t="s">
        <v>472</v>
      </c>
    </row>
    <row r="55" spans="1:3" x14ac:dyDescent="0.2">
      <c r="A55" s="17" t="s">
        <v>52</v>
      </c>
      <c r="B55" s="17" t="s">
        <v>471</v>
      </c>
      <c r="C55" s="17" t="s">
        <v>470</v>
      </c>
    </row>
    <row r="56" spans="1:3" x14ac:dyDescent="0.2">
      <c r="A56" s="17" t="s">
        <v>52</v>
      </c>
      <c r="B56" s="17" t="s">
        <v>469</v>
      </c>
      <c r="C56" s="17" t="s">
        <v>468</v>
      </c>
    </row>
    <row r="57" spans="1:3" x14ac:dyDescent="0.2">
      <c r="A57" s="17" t="s">
        <v>52</v>
      </c>
      <c r="B57" s="17" t="s">
        <v>467</v>
      </c>
      <c r="C57" s="17" t="s">
        <v>466</v>
      </c>
    </row>
    <row r="58" spans="1:3" x14ac:dyDescent="0.2">
      <c r="A58" s="17" t="s">
        <v>52</v>
      </c>
      <c r="B58" s="17" t="s">
        <v>465</v>
      </c>
      <c r="C58" s="17" t="s">
        <v>464</v>
      </c>
    </row>
    <row r="59" spans="1:3" x14ac:dyDescent="0.2">
      <c r="A59" s="17" t="s">
        <v>52</v>
      </c>
      <c r="B59" s="17" t="s">
        <v>463</v>
      </c>
      <c r="C59" s="17" t="s">
        <v>462</v>
      </c>
    </row>
    <row r="60" spans="1:3" x14ac:dyDescent="0.2">
      <c r="A60" s="17" t="s">
        <v>52</v>
      </c>
      <c r="B60" s="17" t="s">
        <v>461</v>
      </c>
      <c r="C60" s="17" t="s">
        <v>460</v>
      </c>
    </row>
    <row r="61" spans="1:3" x14ac:dyDescent="0.2">
      <c r="A61" s="17" t="s">
        <v>52</v>
      </c>
      <c r="B61" s="17" t="s">
        <v>459</v>
      </c>
      <c r="C61" s="17" t="s">
        <v>458</v>
      </c>
    </row>
    <row r="62" spans="1:3" x14ac:dyDescent="0.2">
      <c r="A62" s="17" t="s">
        <v>52</v>
      </c>
      <c r="B62" s="17" t="s">
        <v>457</v>
      </c>
      <c r="C62" s="17" t="s">
        <v>456</v>
      </c>
    </row>
    <row r="63" spans="1:3" x14ac:dyDescent="0.2">
      <c r="A63" s="17" t="s">
        <v>52</v>
      </c>
      <c r="B63" s="17" t="s">
        <v>455</v>
      </c>
      <c r="C63" s="17" t="s">
        <v>454</v>
      </c>
    </row>
    <row r="64" spans="1:3" x14ac:dyDescent="0.2">
      <c r="A64" s="17" t="s">
        <v>52</v>
      </c>
      <c r="B64" s="17" t="s">
        <v>453</v>
      </c>
      <c r="C64" s="17" t="s">
        <v>452</v>
      </c>
    </row>
    <row r="65" spans="1:3" x14ac:dyDescent="0.2">
      <c r="A65" s="17" t="s">
        <v>52</v>
      </c>
      <c r="B65" s="17" t="s">
        <v>451</v>
      </c>
      <c r="C65" s="17" t="s">
        <v>450</v>
      </c>
    </row>
    <row r="66" spans="1:3" x14ac:dyDescent="0.2">
      <c r="A66" s="17" t="s">
        <v>52</v>
      </c>
      <c r="B66" s="17" t="s">
        <v>449</v>
      </c>
      <c r="C66" s="17" t="s">
        <v>448</v>
      </c>
    </row>
    <row r="67" spans="1:3" x14ac:dyDescent="0.2">
      <c r="A67" s="17" t="s">
        <v>52</v>
      </c>
      <c r="B67" s="17" t="s">
        <v>447</v>
      </c>
      <c r="C67" s="17" t="s">
        <v>446</v>
      </c>
    </row>
    <row r="68" spans="1:3" x14ac:dyDescent="0.2">
      <c r="A68" s="17" t="s">
        <v>52</v>
      </c>
      <c r="B68" s="17" t="s">
        <v>445</v>
      </c>
      <c r="C68" s="17" t="s">
        <v>444</v>
      </c>
    </row>
    <row r="69" spans="1:3" x14ac:dyDescent="0.2">
      <c r="A69" s="17" t="s">
        <v>52</v>
      </c>
      <c r="B69" s="17" t="s">
        <v>443</v>
      </c>
      <c r="C69" s="17" t="s">
        <v>442</v>
      </c>
    </row>
    <row r="70" spans="1:3" x14ac:dyDescent="0.2">
      <c r="A70" s="17" t="s">
        <v>52</v>
      </c>
      <c r="B70" s="17" t="s">
        <v>441</v>
      </c>
      <c r="C70" s="17" t="s">
        <v>1</v>
      </c>
    </row>
    <row r="71" spans="1:3" x14ac:dyDescent="0.2">
      <c r="A71" s="17" t="s">
        <v>52</v>
      </c>
      <c r="B71" s="17" t="s">
        <v>440</v>
      </c>
      <c r="C71" s="17" t="s">
        <v>439</v>
      </c>
    </row>
    <row r="72" spans="1:3" x14ac:dyDescent="0.2">
      <c r="A72" s="17" t="s">
        <v>52</v>
      </c>
      <c r="B72" s="17" t="s">
        <v>438</v>
      </c>
      <c r="C72" s="17" t="s">
        <v>437</v>
      </c>
    </row>
    <row r="73" spans="1:3" x14ac:dyDescent="0.2">
      <c r="A73" s="17" t="s">
        <v>52</v>
      </c>
      <c r="B73" s="17" t="s">
        <v>436</v>
      </c>
      <c r="C73" s="17" t="s">
        <v>435</v>
      </c>
    </row>
    <row r="74" spans="1:3" x14ac:dyDescent="0.2">
      <c r="A74" s="17" t="s">
        <v>52</v>
      </c>
      <c r="B74" s="17" t="s">
        <v>434</v>
      </c>
      <c r="C74" s="17" t="s">
        <v>433</v>
      </c>
    </row>
    <row r="75" spans="1:3" x14ac:dyDescent="0.2">
      <c r="A75" s="17" t="s">
        <v>52</v>
      </c>
      <c r="B75" s="17" t="s">
        <v>432</v>
      </c>
      <c r="C75" s="17" t="s">
        <v>431</v>
      </c>
    </row>
    <row r="76" spans="1:3" x14ac:dyDescent="0.2">
      <c r="A76" s="17" t="s">
        <v>52</v>
      </c>
      <c r="B76" s="17" t="s">
        <v>430</v>
      </c>
      <c r="C76" s="17" t="s">
        <v>429</v>
      </c>
    </row>
    <row r="77" spans="1:3" x14ac:dyDescent="0.2">
      <c r="A77" s="17" t="s">
        <v>52</v>
      </c>
      <c r="B77" s="17" t="s">
        <v>428</v>
      </c>
      <c r="C77" s="17" t="s">
        <v>427</v>
      </c>
    </row>
    <row r="78" spans="1:3" x14ac:dyDescent="0.2">
      <c r="A78" s="17" t="s">
        <v>52</v>
      </c>
      <c r="B78" s="17" t="s">
        <v>426</v>
      </c>
      <c r="C78" s="17" t="s">
        <v>425</v>
      </c>
    </row>
    <row r="79" spans="1:3" x14ac:dyDescent="0.2">
      <c r="A79" s="17" t="s">
        <v>52</v>
      </c>
      <c r="B79" s="17" t="s">
        <v>424</v>
      </c>
      <c r="C79" s="17" t="s">
        <v>423</v>
      </c>
    </row>
    <row r="80" spans="1:3" x14ac:dyDescent="0.2">
      <c r="A80" s="17" t="s">
        <v>52</v>
      </c>
      <c r="B80" s="17" t="s">
        <v>422</v>
      </c>
      <c r="C80" s="17" t="s">
        <v>421</v>
      </c>
    </row>
    <row r="81" spans="1:3" x14ac:dyDescent="0.2">
      <c r="A81" s="17" t="s">
        <v>52</v>
      </c>
      <c r="B81" s="17" t="s">
        <v>420</v>
      </c>
      <c r="C81" s="17" t="s">
        <v>419</v>
      </c>
    </row>
    <row r="82" spans="1:3" x14ac:dyDescent="0.2">
      <c r="A82" s="17" t="s">
        <v>52</v>
      </c>
      <c r="B82" s="17" t="s">
        <v>418</v>
      </c>
      <c r="C82" s="17" t="s">
        <v>417</v>
      </c>
    </row>
    <row r="83" spans="1:3" x14ac:dyDescent="0.2">
      <c r="A83" s="17" t="s">
        <v>52</v>
      </c>
      <c r="B83" s="17" t="s">
        <v>416</v>
      </c>
      <c r="C83" s="17" t="s">
        <v>415</v>
      </c>
    </row>
    <row r="84" spans="1:3" x14ac:dyDescent="0.2">
      <c r="A84" s="17" t="s">
        <v>52</v>
      </c>
      <c r="B84" s="17" t="s">
        <v>414</v>
      </c>
      <c r="C84" s="17" t="s">
        <v>413</v>
      </c>
    </row>
    <row r="85" spans="1:3" x14ac:dyDescent="0.2">
      <c r="A85" s="17" t="s">
        <v>52</v>
      </c>
      <c r="B85" s="17" t="s">
        <v>412</v>
      </c>
      <c r="C85" s="17" t="s">
        <v>411</v>
      </c>
    </row>
    <row r="86" spans="1:3" x14ac:dyDescent="0.2">
      <c r="A86" s="17" t="s">
        <v>52</v>
      </c>
      <c r="B86" s="17" t="s">
        <v>410</v>
      </c>
      <c r="C86" s="17" t="s">
        <v>409</v>
      </c>
    </row>
    <row r="87" spans="1:3" x14ac:dyDescent="0.2">
      <c r="A87" s="17" t="s">
        <v>52</v>
      </c>
      <c r="B87" s="17" t="s">
        <v>408</v>
      </c>
      <c r="C87" s="17" t="s">
        <v>407</v>
      </c>
    </row>
    <row r="88" spans="1:3" x14ac:dyDescent="0.2">
      <c r="A88" s="17" t="s">
        <v>52</v>
      </c>
      <c r="B88" s="17" t="s">
        <v>406</v>
      </c>
      <c r="C88" s="17" t="s">
        <v>405</v>
      </c>
    </row>
    <row r="89" spans="1:3" x14ac:dyDescent="0.2">
      <c r="A89" s="17" t="s">
        <v>52</v>
      </c>
      <c r="B89" s="17" t="s">
        <v>404</v>
      </c>
      <c r="C89" s="17" t="s">
        <v>403</v>
      </c>
    </row>
    <row r="90" spans="1:3" x14ac:dyDescent="0.2">
      <c r="A90" s="17" t="s">
        <v>52</v>
      </c>
      <c r="B90" s="17" t="s">
        <v>402</v>
      </c>
      <c r="C90" s="17" t="s">
        <v>401</v>
      </c>
    </row>
    <row r="91" spans="1:3" x14ac:dyDescent="0.2">
      <c r="A91" s="17" t="s">
        <v>52</v>
      </c>
      <c r="B91" s="17" t="s">
        <v>400</v>
      </c>
      <c r="C91" s="17" t="s">
        <v>399</v>
      </c>
    </row>
    <row r="92" spans="1:3" x14ac:dyDescent="0.2">
      <c r="A92" s="17" t="s">
        <v>52</v>
      </c>
      <c r="B92" s="17" t="s">
        <v>398</v>
      </c>
      <c r="C92" s="17" t="s">
        <v>397</v>
      </c>
    </row>
    <row r="93" spans="1:3" x14ac:dyDescent="0.2">
      <c r="A93" s="17" t="s">
        <v>52</v>
      </c>
      <c r="B93" s="17" t="s">
        <v>396</v>
      </c>
      <c r="C93" s="17" t="s">
        <v>395</v>
      </c>
    </row>
    <row r="94" spans="1:3" x14ac:dyDescent="0.2">
      <c r="A94" s="17" t="s">
        <v>52</v>
      </c>
      <c r="B94" s="17" t="s">
        <v>394</v>
      </c>
      <c r="C94" s="17" t="s">
        <v>393</v>
      </c>
    </row>
    <row r="95" spans="1:3" x14ac:dyDescent="0.2">
      <c r="A95" s="17" t="s">
        <v>52</v>
      </c>
      <c r="B95" s="17" t="s">
        <v>392</v>
      </c>
      <c r="C95" s="17" t="s">
        <v>391</v>
      </c>
    </row>
    <row r="96" spans="1:3" x14ac:dyDescent="0.2">
      <c r="A96" s="17" t="s">
        <v>52</v>
      </c>
      <c r="B96" s="17" t="s">
        <v>390</v>
      </c>
      <c r="C96" s="17" t="s">
        <v>389</v>
      </c>
    </row>
    <row r="97" spans="1:3" x14ac:dyDescent="0.2">
      <c r="A97" s="17" t="s">
        <v>52</v>
      </c>
      <c r="B97" s="17" t="s">
        <v>388</v>
      </c>
      <c r="C97" s="17" t="s">
        <v>387</v>
      </c>
    </row>
    <row r="98" spans="1:3" x14ac:dyDescent="0.2">
      <c r="A98" s="17" t="s">
        <v>52</v>
      </c>
      <c r="B98" s="17" t="s">
        <v>386</v>
      </c>
      <c r="C98" s="17" t="s">
        <v>385</v>
      </c>
    </row>
    <row r="99" spans="1:3" x14ac:dyDescent="0.2">
      <c r="A99" s="17" t="s">
        <v>52</v>
      </c>
      <c r="B99" s="17" t="s">
        <v>384</v>
      </c>
      <c r="C99" s="17" t="s">
        <v>383</v>
      </c>
    </row>
    <row r="100" spans="1:3" x14ac:dyDescent="0.2">
      <c r="A100" s="17" t="s">
        <v>52</v>
      </c>
      <c r="B100" s="17" t="s">
        <v>382</v>
      </c>
      <c r="C100" s="17" t="s">
        <v>381</v>
      </c>
    </row>
    <row r="101" spans="1:3" x14ac:dyDescent="0.2">
      <c r="A101" s="17" t="s">
        <v>52</v>
      </c>
      <c r="B101" s="17" t="s">
        <v>380</v>
      </c>
      <c r="C101" s="17" t="s">
        <v>379</v>
      </c>
    </row>
    <row r="102" spans="1:3" x14ac:dyDescent="0.2">
      <c r="A102" s="17" t="s">
        <v>52</v>
      </c>
      <c r="B102" s="17" t="s">
        <v>378</v>
      </c>
      <c r="C102" s="17" t="s">
        <v>377</v>
      </c>
    </row>
    <row r="103" spans="1:3" x14ac:dyDescent="0.2">
      <c r="A103" s="17" t="s">
        <v>52</v>
      </c>
      <c r="B103" s="17" t="s">
        <v>376</v>
      </c>
      <c r="C103" s="17" t="s">
        <v>375</v>
      </c>
    </row>
    <row r="104" spans="1:3" x14ac:dyDescent="0.2">
      <c r="A104" s="17" t="s">
        <v>52</v>
      </c>
      <c r="B104" s="17" t="s">
        <v>374</v>
      </c>
      <c r="C104" s="17" t="s">
        <v>373</v>
      </c>
    </row>
    <row r="105" spans="1:3" x14ac:dyDescent="0.2">
      <c r="A105" s="17" t="s">
        <v>52</v>
      </c>
      <c r="B105" s="17" t="s">
        <v>372</v>
      </c>
      <c r="C105" s="17" t="s">
        <v>371</v>
      </c>
    </row>
    <row r="106" spans="1:3" x14ac:dyDescent="0.2">
      <c r="A106" s="17" t="s">
        <v>52</v>
      </c>
      <c r="B106" s="17" t="s">
        <v>370</v>
      </c>
      <c r="C106" s="17" t="s">
        <v>369</v>
      </c>
    </row>
    <row r="107" spans="1:3" x14ac:dyDescent="0.2">
      <c r="A107" s="17" t="s">
        <v>52</v>
      </c>
      <c r="B107" s="17" t="s">
        <v>368</v>
      </c>
      <c r="C107" s="17" t="s">
        <v>367</v>
      </c>
    </row>
    <row r="108" spans="1:3" x14ac:dyDescent="0.2">
      <c r="A108" s="17" t="s">
        <v>52</v>
      </c>
      <c r="B108" s="17" t="s">
        <v>366</v>
      </c>
      <c r="C108" s="17" t="s">
        <v>365</v>
      </c>
    </row>
    <row r="109" spans="1:3" x14ac:dyDescent="0.2">
      <c r="A109" s="17" t="s">
        <v>52</v>
      </c>
      <c r="B109" s="17" t="s">
        <v>364</v>
      </c>
      <c r="C109" s="17" t="s">
        <v>363</v>
      </c>
    </row>
    <row r="110" spans="1:3" x14ac:dyDescent="0.2">
      <c r="A110" s="17" t="s">
        <v>52</v>
      </c>
      <c r="B110" s="17" t="s">
        <v>362</v>
      </c>
      <c r="C110" s="17" t="s">
        <v>361</v>
      </c>
    </row>
    <row r="111" spans="1:3" x14ac:dyDescent="0.2">
      <c r="A111" s="17" t="s">
        <v>52</v>
      </c>
      <c r="B111" s="17" t="s">
        <v>360</v>
      </c>
      <c r="C111" s="17" t="s">
        <v>359</v>
      </c>
    </row>
    <row r="112" spans="1:3" x14ac:dyDescent="0.2">
      <c r="A112" s="17" t="s">
        <v>52</v>
      </c>
      <c r="B112" s="17" t="s">
        <v>358</v>
      </c>
      <c r="C112" s="17" t="s">
        <v>7</v>
      </c>
    </row>
    <row r="113" spans="1:3" x14ac:dyDescent="0.2">
      <c r="A113" s="17" t="s">
        <v>52</v>
      </c>
      <c r="B113" s="17" t="s">
        <v>357</v>
      </c>
      <c r="C113" s="17" t="s">
        <v>356</v>
      </c>
    </row>
    <row r="114" spans="1:3" x14ac:dyDescent="0.2">
      <c r="A114" s="17" t="s">
        <v>52</v>
      </c>
      <c r="B114" s="17" t="s">
        <v>355</v>
      </c>
      <c r="C114" s="17" t="s">
        <v>354</v>
      </c>
    </row>
    <row r="115" spans="1:3" x14ac:dyDescent="0.2">
      <c r="A115" s="17" t="s">
        <v>52</v>
      </c>
      <c r="B115" s="17" t="s">
        <v>353</v>
      </c>
      <c r="C115" s="17" t="s">
        <v>352</v>
      </c>
    </row>
    <row r="116" spans="1:3" x14ac:dyDescent="0.2">
      <c r="A116" s="17" t="s">
        <v>347</v>
      </c>
      <c r="B116" s="17" t="s">
        <v>351</v>
      </c>
      <c r="C116" s="18" t="s">
        <v>350</v>
      </c>
    </row>
    <row r="117" spans="1:3" x14ac:dyDescent="0.2">
      <c r="A117" s="17" t="s">
        <v>52</v>
      </c>
      <c r="B117" s="17" t="s">
        <v>349</v>
      </c>
      <c r="C117" s="17" t="s">
        <v>348</v>
      </c>
    </row>
    <row r="118" spans="1:3" x14ac:dyDescent="0.2">
      <c r="A118" s="17" t="s">
        <v>347</v>
      </c>
      <c r="B118" s="17" t="s">
        <v>346</v>
      </c>
      <c r="C118" s="17" t="s">
        <v>345</v>
      </c>
    </row>
    <row r="119" spans="1:3" x14ac:dyDescent="0.2">
      <c r="A119" s="17" t="s">
        <v>340</v>
      </c>
      <c r="B119" s="17" t="s">
        <v>344</v>
      </c>
      <c r="C119" s="17" t="s">
        <v>343</v>
      </c>
    </row>
    <row r="120" spans="1:3" x14ac:dyDescent="0.2">
      <c r="A120" s="17" t="s">
        <v>340</v>
      </c>
      <c r="B120" s="17" t="s">
        <v>342</v>
      </c>
      <c r="C120" s="17" t="s">
        <v>341</v>
      </c>
    </row>
    <row r="121" spans="1:3" x14ac:dyDescent="0.2">
      <c r="A121" s="17" t="s">
        <v>340</v>
      </c>
      <c r="B121" s="17" t="s">
        <v>339</v>
      </c>
      <c r="C121" s="17" t="s">
        <v>338</v>
      </c>
    </row>
    <row r="122" spans="1:3" x14ac:dyDescent="0.2">
      <c r="A122" s="17" t="s">
        <v>52</v>
      </c>
      <c r="B122" s="17" t="s">
        <v>337</v>
      </c>
      <c r="C122" s="17" t="s">
        <v>336</v>
      </c>
    </row>
    <row r="123" spans="1:3" x14ac:dyDescent="0.2">
      <c r="A123" s="17" t="s">
        <v>333</v>
      </c>
      <c r="B123" s="17" t="s">
        <v>335</v>
      </c>
      <c r="C123" s="17" t="s">
        <v>334</v>
      </c>
    </row>
    <row r="124" spans="1:3" x14ac:dyDescent="0.2">
      <c r="A124" s="17" t="s">
        <v>333</v>
      </c>
      <c r="B124" s="17" t="s">
        <v>332</v>
      </c>
      <c r="C124" s="17" t="s">
        <v>331</v>
      </c>
    </row>
    <row r="125" spans="1:3" x14ac:dyDescent="0.2">
      <c r="A125" s="17" t="s">
        <v>52</v>
      </c>
      <c r="B125" s="17" t="s">
        <v>330</v>
      </c>
      <c r="C125" s="17" t="s">
        <v>329</v>
      </c>
    </row>
    <row r="126" spans="1:3" x14ac:dyDescent="0.2">
      <c r="A126" s="17" t="s">
        <v>52</v>
      </c>
      <c r="B126" s="17" t="s">
        <v>328</v>
      </c>
      <c r="C126" s="17" t="s">
        <v>4</v>
      </c>
    </row>
    <row r="127" spans="1:3" x14ac:dyDescent="0.2">
      <c r="A127" s="17" t="s">
        <v>52</v>
      </c>
      <c r="B127" s="17" t="s">
        <v>327</v>
      </c>
      <c r="C127" s="17" t="s">
        <v>326</v>
      </c>
    </row>
    <row r="128" spans="1:3" x14ac:dyDescent="0.2">
      <c r="A128" s="17" t="s">
        <v>52</v>
      </c>
      <c r="B128" s="17" t="s">
        <v>325</v>
      </c>
      <c r="C128" s="17" t="s">
        <v>324</v>
      </c>
    </row>
    <row r="129" spans="1:3" x14ac:dyDescent="0.2">
      <c r="A129" s="17" t="s">
        <v>52</v>
      </c>
      <c r="B129" s="17" t="s">
        <v>323</v>
      </c>
      <c r="C129" s="17" t="s">
        <v>322</v>
      </c>
    </row>
    <row r="130" spans="1:3" x14ac:dyDescent="0.2">
      <c r="A130" s="17" t="s">
        <v>52</v>
      </c>
      <c r="B130" s="17" t="s">
        <v>321</v>
      </c>
      <c r="C130" s="17" t="s">
        <v>320</v>
      </c>
    </row>
    <row r="131" spans="1:3" x14ac:dyDescent="0.2">
      <c r="A131" s="17" t="s">
        <v>52</v>
      </c>
      <c r="B131" s="17" t="s">
        <v>319</v>
      </c>
      <c r="C131" s="17" t="s">
        <v>318</v>
      </c>
    </row>
    <row r="132" spans="1:3" x14ac:dyDescent="0.2">
      <c r="A132" s="17" t="s">
        <v>52</v>
      </c>
      <c r="B132" s="17" t="s">
        <v>317</v>
      </c>
      <c r="C132" s="17" t="s">
        <v>316</v>
      </c>
    </row>
    <row r="133" spans="1:3" x14ac:dyDescent="0.2">
      <c r="A133" s="17" t="s">
        <v>52</v>
      </c>
      <c r="B133" s="17" t="s">
        <v>315</v>
      </c>
      <c r="C133" s="17" t="s">
        <v>314</v>
      </c>
    </row>
    <row r="134" spans="1:3" x14ac:dyDescent="0.2">
      <c r="A134" s="17" t="s">
        <v>52</v>
      </c>
      <c r="B134" s="17" t="s">
        <v>313</v>
      </c>
      <c r="C134" s="17" t="s">
        <v>312</v>
      </c>
    </row>
    <row r="135" spans="1:3" x14ac:dyDescent="0.2">
      <c r="A135" s="17" t="s">
        <v>52</v>
      </c>
      <c r="B135" s="17" t="s">
        <v>311</v>
      </c>
      <c r="C135" s="17" t="s">
        <v>310</v>
      </c>
    </row>
    <row r="136" spans="1:3" x14ac:dyDescent="0.2">
      <c r="A136" s="17" t="s">
        <v>52</v>
      </c>
      <c r="B136" s="17" t="s">
        <v>309</v>
      </c>
      <c r="C136" s="17" t="s">
        <v>308</v>
      </c>
    </row>
    <row r="137" spans="1:3" x14ac:dyDescent="0.2">
      <c r="A137" s="17" t="s">
        <v>52</v>
      </c>
      <c r="B137" s="17" t="s">
        <v>307</v>
      </c>
      <c r="C137" s="17" t="s">
        <v>306</v>
      </c>
    </row>
    <row r="138" spans="1:3" x14ac:dyDescent="0.2">
      <c r="A138" s="17" t="s">
        <v>52</v>
      </c>
      <c r="B138" s="17" t="s">
        <v>305</v>
      </c>
      <c r="C138" s="17" t="s">
        <v>304</v>
      </c>
    </row>
    <row r="139" spans="1:3" x14ac:dyDescent="0.2">
      <c r="A139" s="17" t="s">
        <v>52</v>
      </c>
      <c r="B139" s="17" t="s">
        <v>303</v>
      </c>
      <c r="C139" s="17" t="s">
        <v>302</v>
      </c>
    </row>
    <row r="140" spans="1:3" x14ac:dyDescent="0.2">
      <c r="A140" s="17" t="s">
        <v>52</v>
      </c>
      <c r="B140" s="17" t="s">
        <v>301</v>
      </c>
      <c r="C140" s="17" t="s">
        <v>300</v>
      </c>
    </row>
    <row r="141" spans="1:3" x14ac:dyDescent="0.2">
      <c r="A141" s="17" t="s">
        <v>52</v>
      </c>
      <c r="B141" s="17" t="s">
        <v>299</v>
      </c>
      <c r="C141" s="17" t="s">
        <v>298</v>
      </c>
    </row>
    <row r="142" spans="1:3" x14ac:dyDescent="0.2">
      <c r="A142" s="17" t="s">
        <v>52</v>
      </c>
      <c r="B142" s="17" t="s">
        <v>297</v>
      </c>
      <c r="C142" s="17" t="s">
        <v>296</v>
      </c>
    </row>
    <row r="143" spans="1:3" x14ac:dyDescent="0.2">
      <c r="A143" s="17" t="s">
        <v>52</v>
      </c>
      <c r="B143" s="17" t="s">
        <v>295</v>
      </c>
      <c r="C143" s="17" t="s">
        <v>294</v>
      </c>
    </row>
    <row r="144" spans="1:3" x14ac:dyDescent="0.2">
      <c r="A144" s="17" t="s">
        <v>52</v>
      </c>
      <c r="B144" s="17" t="s">
        <v>293</v>
      </c>
      <c r="C144" s="17" t="s">
        <v>292</v>
      </c>
    </row>
    <row r="145" spans="1:3" x14ac:dyDescent="0.2">
      <c r="A145" s="17" t="s">
        <v>52</v>
      </c>
      <c r="B145" s="17" t="s">
        <v>291</v>
      </c>
      <c r="C145" s="17" t="s">
        <v>290</v>
      </c>
    </row>
    <row r="146" spans="1:3" x14ac:dyDescent="0.2">
      <c r="A146" s="17" t="s">
        <v>52</v>
      </c>
      <c r="B146" s="17" t="s">
        <v>289</v>
      </c>
      <c r="C146" s="17" t="s">
        <v>288</v>
      </c>
    </row>
    <row r="147" spans="1:3" x14ac:dyDescent="0.2">
      <c r="A147" s="17" t="s">
        <v>52</v>
      </c>
      <c r="B147" s="17" t="s">
        <v>287</v>
      </c>
      <c r="C147" s="17" t="s">
        <v>286</v>
      </c>
    </row>
    <row r="148" spans="1:3" x14ac:dyDescent="0.2">
      <c r="A148" s="17" t="s">
        <v>52</v>
      </c>
      <c r="B148" s="17" t="s">
        <v>285</v>
      </c>
      <c r="C148" s="17" t="s">
        <v>284</v>
      </c>
    </row>
    <row r="149" spans="1:3" x14ac:dyDescent="0.2">
      <c r="A149" s="17" t="s">
        <v>52</v>
      </c>
      <c r="B149" s="17" t="s">
        <v>283</v>
      </c>
      <c r="C149" s="17" t="s">
        <v>168</v>
      </c>
    </row>
    <row r="150" spans="1:3" x14ac:dyDescent="0.2">
      <c r="A150" s="17" t="s">
        <v>52</v>
      </c>
      <c r="B150" s="17" t="s">
        <v>282</v>
      </c>
      <c r="C150" s="17" t="s">
        <v>281</v>
      </c>
    </row>
    <row r="151" spans="1:3" x14ac:dyDescent="0.2">
      <c r="A151" s="17" t="s">
        <v>52</v>
      </c>
      <c r="B151" s="17" t="s">
        <v>280</v>
      </c>
      <c r="C151" s="17" t="s">
        <v>279</v>
      </c>
    </row>
    <row r="152" spans="1:3" x14ac:dyDescent="0.2">
      <c r="A152" s="17" t="s">
        <v>52</v>
      </c>
      <c r="B152" s="17" t="s">
        <v>278</v>
      </c>
      <c r="C152" s="17" t="s">
        <v>277</v>
      </c>
    </row>
    <row r="153" spans="1:3" x14ac:dyDescent="0.2">
      <c r="A153" s="17" t="s">
        <v>52</v>
      </c>
      <c r="B153" s="17" t="s">
        <v>276</v>
      </c>
      <c r="C153" s="17" t="s">
        <v>275</v>
      </c>
    </row>
    <row r="154" spans="1:3" x14ac:dyDescent="0.2">
      <c r="A154" s="17" t="s">
        <v>52</v>
      </c>
      <c r="B154" s="17" t="s">
        <v>274</v>
      </c>
      <c r="C154" s="17" t="s">
        <v>8</v>
      </c>
    </row>
    <row r="155" spans="1:3" x14ac:dyDescent="0.2">
      <c r="A155" s="17" t="s">
        <v>52</v>
      </c>
      <c r="B155" s="17" t="s">
        <v>273</v>
      </c>
      <c r="C155" s="17" t="s">
        <v>272</v>
      </c>
    </row>
    <row r="156" spans="1:3" x14ac:dyDescent="0.2">
      <c r="A156" s="17" t="s">
        <v>52</v>
      </c>
      <c r="B156" s="17" t="s">
        <v>271</v>
      </c>
      <c r="C156" s="17" t="s">
        <v>270</v>
      </c>
    </row>
    <row r="157" spans="1:3" x14ac:dyDescent="0.2">
      <c r="A157" s="17" t="s">
        <v>52</v>
      </c>
      <c r="B157" s="17" t="s">
        <v>269</v>
      </c>
      <c r="C157" s="17" t="s">
        <v>137</v>
      </c>
    </row>
    <row r="158" spans="1:3" x14ac:dyDescent="0.2">
      <c r="A158" s="17" t="s">
        <v>52</v>
      </c>
      <c r="B158" s="17" t="s">
        <v>268</v>
      </c>
      <c r="C158" s="17" t="s">
        <v>135</v>
      </c>
    </row>
    <row r="159" spans="1:3" x14ac:dyDescent="0.2">
      <c r="A159" s="17" t="s">
        <v>52</v>
      </c>
      <c r="B159" s="17" t="s">
        <v>267</v>
      </c>
      <c r="C159" s="17" t="s">
        <v>266</v>
      </c>
    </row>
    <row r="160" spans="1:3" x14ac:dyDescent="0.2">
      <c r="A160" s="17" t="s">
        <v>52</v>
      </c>
      <c r="B160" s="17" t="s">
        <v>265</v>
      </c>
      <c r="C160" s="17" t="s">
        <v>264</v>
      </c>
    </row>
    <row r="161" spans="1:3" x14ac:dyDescent="0.2">
      <c r="A161" s="17" t="s">
        <v>52</v>
      </c>
      <c r="B161" s="17" t="s">
        <v>263</v>
      </c>
      <c r="C161" s="17" t="s">
        <v>262</v>
      </c>
    </row>
    <row r="162" spans="1:3" x14ac:dyDescent="0.2">
      <c r="A162" s="17" t="s">
        <v>52</v>
      </c>
      <c r="B162" s="17" t="s">
        <v>261</v>
      </c>
      <c r="C162" s="17" t="s">
        <v>260</v>
      </c>
    </row>
    <row r="163" spans="1:3" x14ac:dyDescent="0.2">
      <c r="A163" s="17" t="s">
        <v>52</v>
      </c>
      <c r="B163" s="17" t="s">
        <v>259</v>
      </c>
      <c r="C163" s="17" t="s">
        <v>258</v>
      </c>
    </row>
    <row r="164" spans="1:3" x14ac:dyDescent="0.2">
      <c r="A164" s="17" t="s">
        <v>52</v>
      </c>
      <c r="B164" s="17" t="s">
        <v>257</v>
      </c>
      <c r="C164" s="17" t="s">
        <v>256</v>
      </c>
    </row>
    <row r="165" spans="1:3" x14ac:dyDescent="0.2">
      <c r="A165" s="17" t="s">
        <v>52</v>
      </c>
      <c r="B165" s="17" t="s">
        <v>255</v>
      </c>
      <c r="C165" s="17" t="s">
        <v>254</v>
      </c>
    </row>
    <row r="166" spans="1:3" x14ac:dyDescent="0.2">
      <c r="A166" s="17" t="s">
        <v>52</v>
      </c>
      <c r="B166" s="17" t="s">
        <v>253</v>
      </c>
      <c r="C166" s="17" t="s">
        <v>252</v>
      </c>
    </row>
    <row r="167" spans="1:3" x14ac:dyDescent="0.2">
      <c r="A167" s="17" t="s">
        <v>52</v>
      </c>
      <c r="B167" s="17" t="s">
        <v>251</v>
      </c>
      <c r="C167" s="17" t="s">
        <v>250</v>
      </c>
    </row>
    <row r="168" spans="1:3" x14ac:dyDescent="0.2">
      <c r="A168" s="17" t="s">
        <v>52</v>
      </c>
      <c r="B168" s="17" t="s">
        <v>249</v>
      </c>
      <c r="C168" s="17" t="s">
        <v>129</v>
      </c>
    </row>
    <row r="169" spans="1:3" x14ac:dyDescent="0.2">
      <c r="A169" s="17" t="s">
        <v>52</v>
      </c>
      <c r="B169" s="17" t="s">
        <v>248</v>
      </c>
      <c r="C169" s="17" t="s">
        <v>247</v>
      </c>
    </row>
    <row r="170" spans="1:3" x14ac:dyDescent="0.2">
      <c r="A170" s="17" t="s">
        <v>52</v>
      </c>
      <c r="B170" s="17" t="s">
        <v>246</v>
      </c>
      <c r="C170" s="17" t="s">
        <v>245</v>
      </c>
    </row>
    <row r="171" spans="1:3" x14ac:dyDescent="0.2">
      <c r="A171" s="17" t="s">
        <v>52</v>
      </c>
      <c r="B171" s="17" t="s">
        <v>244</v>
      </c>
      <c r="C171" s="17" t="s">
        <v>243</v>
      </c>
    </row>
    <row r="172" spans="1:3" x14ac:dyDescent="0.2">
      <c r="A172" s="17" t="s">
        <v>52</v>
      </c>
      <c r="B172" s="17" t="s">
        <v>242</v>
      </c>
      <c r="C172" s="17" t="s">
        <v>241</v>
      </c>
    </row>
    <row r="173" spans="1:3" x14ac:dyDescent="0.2">
      <c r="A173" s="17" t="s">
        <v>52</v>
      </c>
      <c r="B173" s="17" t="s">
        <v>240</v>
      </c>
      <c r="C173" s="17" t="s">
        <v>239</v>
      </c>
    </row>
    <row r="174" spans="1:3" x14ac:dyDescent="0.2">
      <c r="A174" s="17" t="s">
        <v>52</v>
      </c>
      <c r="B174" s="17" t="s">
        <v>238</v>
      </c>
      <c r="C174" s="17" t="s">
        <v>237</v>
      </c>
    </row>
    <row r="175" spans="1:3" x14ac:dyDescent="0.2">
      <c r="A175" s="17" t="s">
        <v>52</v>
      </c>
      <c r="B175" s="17" t="s">
        <v>236</v>
      </c>
      <c r="C175" s="17" t="s">
        <v>235</v>
      </c>
    </row>
    <row r="176" spans="1:3" x14ac:dyDescent="0.2">
      <c r="A176" s="17" t="s">
        <v>52</v>
      </c>
      <c r="B176" s="17" t="s">
        <v>234</v>
      </c>
      <c r="C176" s="17" t="s">
        <v>233</v>
      </c>
    </row>
    <row r="177" spans="1:3" x14ac:dyDescent="0.2">
      <c r="A177" s="17" t="s">
        <v>52</v>
      </c>
      <c r="B177" s="17" t="s">
        <v>232</v>
      </c>
      <c r="C177" s="17" t="s">
        <v>168</v>
      </c>
    </row>
    <row r="178" spans="1:3" x14ac:dyDescent="0.2">
      <c r="A178" s="17" t="s">
        <v>52</v>
      </c>
      <c r="B178" s="17" t="s">
        <v>231</v>
      </c>
      <c r="C178" s="17" t="s">
        <v>230</v>
      </c>
    </row>
    <row r="179" spans="1:3" x14ac:dyDescent="0.2">
      <c r="A179" s="17" t="s">
        <v>52</v>
      </c>
      <c r="B179" s="17" t="s">
        <v>229</v>
      </c>
      <c r="C179" s="17" t="s">
        <v>228</v>
      </c>
    </row>
    <row r="180" spans="1:3" x14ac:dyDescent="0.2">
      <c r="A180" s="17" t="s">
        <v>52</v>
      </c>
      <c r="B180" s="17" t="s">
        <v>227</v>
      </c>
      <c r="C180" s="17" t="s">
        <v>226</v>
      </c>
    </row>
    <row r="181" spans="1:3" x14ac:dyDescent="0.2">
      <c r="A181" s="17" t="s">
        <v>52</v>
      </c>
      <c r="B181" s="17" t="s">
        <v>225</v>
      </c>
      <c r="C181" s="17" t="s">
        <v>224</v>
      </c>
    </row>
    <row r="182" spans="1:3" x14ac:dyDescent="0.2">
      <c r="A182" s="17" t="s">
        <v>52</v>
      </c>
      <c r="B182" s="17" t="s">
        <v>223</v>
      </c>
      <c r="C182" s="17" t="s">
        <v>222</v>
      </c>
    </row>
    <row r="183" spans="1:3" x14ac:dyDescent="0.2">
      <c r="A183" s="17" t="s">
        <v>52</v>
      </c>
      <c r="B183" s="17" t="s">
        <v>221</v>
      </c>
      <c r="C183" s="17" t="s">
        <v>220</v>
      </c>
    </row>
    <row r="184" spans="1:3" x14ac:dyDescent="0.2">
      <c r="A184" s="17" t="s">
        <v>52</v>
      </c>
      <c r="B184" s="17" t="s">
        <v>219</v>
      </c>
      <c r="C184" s="17" t="s">
        <v>218</v>
      </c>
    </row>
    <row r="185" spans="1:3" x14ac:dyDescent="0.2">
      <c r="A185" s="17" t="s">
        <v>52</v>
      </c>
      <c r="B185" s="17" t="s">
        <v>217</v>
      </c>
      <c r="C185" s="17" t="s">
        <v>216</v>
      </c>
    </row>
    <row r="186" spans="1:3" x14ac:dyDescent="0.2">
      <c r="A186" s="17" t="s">
        <v>52</v>
      </c>
      <c r="B186" s="17" t="s">
        <v>215</v>
      </c>
      <c r="C186" s="17" t="s">
        <v>214</v>
      </c>
    </row>
    <row r="187" spans="1:3" x14ac:dyDescent="0.2">
      <c r="A187" s="17" t="s">
        <v>52</v>
      </c>
      <c r="B187" s="17" t="s">
        <v>213</v>
      </c>
      <c r="C187" s="17" t="s">
        <v>212</v>
      </c>
    </row>
    <row r="188" spans="1:3" x14ac:dyDescent="0.2">
      <c r="A188" s="17" t="s">
        <v>52</v>
      </c>
      <c r="B188" s="17" t="s">
        <v>211</v>
      </c>
      <c r="C188" s="17" t="s">
        <v>210</v>
      </c>
    </row>
    <row r="189" spans="1:3" x14ac:dyDescent="0.2">
      <c r="A189" s="17" t="s">
        <v>52</v>
      </c>
      <c r="B189" s="17" t="s">
        <v>209</v>
      </c>
      <c r="C189" s="17" t="s">
        <v>208</v>
      </c>
    </row>
    <row r="190" spans="1:3" x14ac:dyDescent="0.2">
      <c r="A190" s="17" t="s">
        <v>52</v>
      </c>
      <c r="B190" s="17" t="s">
        <v>207</v>
      </c>
      <c r="C190" s="17" t="s">
        <v>206</v>
      </c>
    </row>
    <row r="191" spans="1:3" x14ac:dyDescent="0.2">
      <c r="A191" s="17" t="s">
        <v>52</v>
      </c>
      <c r="B191" s="17" t="s">
        <v>205</v>
      </c>
      <c r="C191" s="17" t="s">
        <v>204</v>
      </c>
    </row>
    <row r="192" spans="1:3" x14ac:dyDescent="0.2">
      <c r="A192" s="17" t="s">
        <v>52</v>
      </c>
      <c r="B192" s="17" t="s">
        <v>203</v>
      </c>
      <c r="C192" s="17" t="s">
        <v>202</v>
      </c>
    </row>
    <row r="193" spans="1:3" x14ac:dyDescent="0.2">
      <c r="A193" s="17" t="s">
        <v>52</v>
      </c>
      <c r="B193" s="17" t="s">
        <v>201</v>
      </c>
      <c r="C193" s="17" t="s">
        <v>200</v>
      </c>
    </row>
    <row r="194" spans="1:3" x14ac:dyDescent="0.2">
      <c r="A194" s="17" t="s">
        <v>52</v>
      </c>
      <c r="B194" s="17" t="s">
        <v>199</v>
      </c>
      <c r="C194" s="17" t="s">
        <v>198</v>
      </c>
    </row>
    <row r="195" spans="1:3" x14ac:dyDescent="0.2">
      <c r="A195" s="17" t="s">
        <v>52</v>
      </c>
      <c r="B195" s="17" t="s">
        <v>197</v>
      </c>
      <c r="C195" s="17" t="s">
        <v>196</v>
      </c>
    </row>
    <row r="196" spans="1:3" x14ac:dyDescent="0.2">
      <c r="A196" s="17" t="s">
        <v>52</v>
      </c>
      <c r="B196" s="17" t="s">
        <v>195</v>
      </c>
      <c r="C196" s="17" t="s">
        <v>113</v>
      </c>
    </row>
    <row r="197" spans="1:3" x14ac:dyDescent="0.2">
      <c r="A197" s="17" t="s">
        <v>52</v>
      </c>
      <c r="B197" s="17" t="s">
        <v>194</v>
      </c>
      <c r="C197" s="17" t="s">
        <v>193</v>
      </c>
    </row>
    <row r="198" spans="1:3" x14ac:dyDescent="0.2">
      <c r="A198" s="17" t="s">
        <v>52</v>
      </c>
      <c r="B198" s="17" t="s">
        <v>192</v>
      </c>
      <c r="C198" s="17" t="s">
        <v>111</v>
      </c>
    </row>
    <row r="199" spans="1:3" x14ac:dyDescent="0.2">
      <c r="A199" s="17" t="s">
        <v>52</v>
      </c>
      <c r="B199" s="17" t="s">
        <v>191</v>
      </c>
      <c r="C199" s="17" t="s">
        <v>190</v>
      </c>
    </row>
    <row r="200" spans="1:3" x14ac:dyDescent="0.2">
      <c r="A200" s="17" t="s">
        <v>52</v>
      </c>
      <c r="B200" s="17" t="s">
        <v>189</v>
      </c>
      <c r="C200" s="17" t="s">
        <v>188</v>
      </c>
    </row>
    <row r="201" spans="1:3" x14ac:dyDescent="0.2">
      <c r="A201" s="17" t="s">
        <v>52</v>
      </c>
      <c r="B201" s="17" t="s">
        <v>187</v>
      </c>
      <c r="C201" s="17" t="s">
        <v>186</v>
      </c>
    </row>
    <row r="202" spans="1:3" x14ac:dyDescent="0.2">
      <c r="A202" s="17" t="s">
        <v>52</v>
      </c>
      <c r="B202" s="17" t="s">
        <v>185</v>
      </c>
      <c r="C202" s="17" t="s">
        <v>184</v>
      </c>
    </row>
    <row r="203" spans="1:3" x14ac:dyDescent="0.2">
      <c r="A203" s="17" t="s">
        <v>52</v>
      </c>
      <c r="B203" s="17" t="s">
        <v>183</v>
      </c>
      <c r="C203" s="17" t="s">
        <v>182</v>
      </c>
    </row>
    <row r="204" spans="1:3" x14ac:dyDescent="0.2">
      <c r="A204" s="17" t="s">
        <v>52</v>
      </c>
      <c r="B204" s="17" t="s">
        <v>181</v>
      </c>
      <c r="C204" s="17" t="s">
        <v>107</v>
      </c>
    </row>
    <row r="205" spans="1:3" x14ac:dyDescent="0.2">
      <c r="A205" s="17" t="s">
        <v>52</v>
      </c>
      <c r="B205" s="17" t="s">
        <v>180</v>
      </c>
      <c r="C205" s="17" t="s">
        <v>179</v>
      </c>
    </row>
    <row r="206" spans="1:3" x14ac:dyDescent="0.2">
      <c r="A206" s="17" t="s">
        <v>52</v>
      </c>
      <c r="B206" s="17" t="s">
        <v>178</v>
      </c>
      <c r="C206" s="17" t="s">
        <v>177</v>
      </c>
    </row>
    <row r="207" spans="1:3" x14ac:dyDescent="0.2">
      <c r="A207" s="17" t="s">
        <v>52</v>
      </c>
      <c r="B207" s="17" t="s">
        <v>176</v>
      </c>
      <c r="C207" s="17" t="s">
        <v>175</v>
      </c>
    </row>
    <row r="208" spans="1:3" x14ac:dyDescent="0.2">
      <c r="A208" s="17" t="s">
        <v>52</v>
      </c>
      <c r="B208" s="17" t="s">
        <v>174</v>
      </c>
      <c r="C208" s="17" t="s">
        <v>173</v>
      </c>
    </row>
    <row r="209" spans="1:3" x14ac:dyDescent="0.2">
      <c r="A209" s="17" t="s">
        <v>52</v>
      </c>
      <c r="B209" s="17" t="s">
        <v>172</v>
      </c>
      <c r="C209" s="17" t="s">
        <v>99</v>
      </c>
    </row>
    <row r="210" spans="1:3" x14ac:dyDescent="0.2">
      <c r="A210" s="17" t="s">
        <v>52</v>
      </c>
      <c r="B210" s="17" t="s">
        <v>171</v>
      </c>
      <c r="C210" s="17" t="s">
        <v>170</v>
      </c>
    </row>
    <row r="211" spans="1:3" x14ac:dyDescent="0.2">
      <c r="A211" s="17" t="s">
        <v>52</v>
      </c>
      <c r="B211" s="17" t="s">
        <v>169</v>
      </c>
      <c r="C211" s="17" t="s">
        <v>168</v>
      </c>
    </row>
    <row r="212" spans="1:3" x14ac:dyDescent="0.2">
      <c r="A212" s="17" t="s">
        <v>52</v>
      </c>
      <c r="B212" s="17" t="s">
        <v>167</v>
      </c>
      <c r="C212" s="17" t="s">
        <v>103</v>
      </c>
    </row>
    <row r="213" spans="1:3" x14ac:dyDescent="0.2">
      <c r="A213" s="17" t="s">
        <v>52</v>
      </c>
      <c r="B213" s="17" t="s">
        <v>166</v>
      </c>
      <c r="C213" s="17" t="s">
        <v>165</v>
      </c>
    </row>
    <row r="214" spans="1:3" x14ac:dyDescent="0.2">
      <c r="A214" s="17" t="s">
        <v>52</v>
      </c>
      <c r="B214" s="17" t="s">
        <v>164</v>
      </c>
      <c r="C214" s="17" t="s">
        <v>163</v>
      </c>
    </row>
    <row r="215" spans="1:3" x14ac:dyDescent="0.2">
      <c r="A215" s="17" t="s">
        <v>52</v>
      </c>
      <c r="B215" s="17" t="s">
        <v>162</v>
      </c>
      <c r="C215" s="17" t="s">
        <v>161</v>
      </c>
    </row>
    <row r="216" spans="1:3" x14ac:dyDescent="0.2">
      <c r="A216" s="17" t="s">
        <v>52</v>
      </c>
      <c r="B216" s="17" t="s">
        <v>160</v>
      </c>
      <c r="C216" s="17" t="s">
        <v>159</v>
      </c>
    </row>
    <row r="217" spans="1:3" x14ac:dyDescent="0.2">
      <c r="A217" s="17" t="s">
        <v>52</v>
      </c>
      <c r="B217" s="17" t="s">
        <v>158</v>
      </c>
      <c r="C217" s="17" t="s">
        <v>157</v>
      </c>
    </row>
    <row r="218" spans="1:3" x14ac:dyDescent="0.2">
      <c r="A218" s="17" t="s">
        <v>52</v>
      </c>
      <c r="B218" s="17" t="s">
        <v>156</v>
      </c>
      <c r="C218" s="17" t="s">
        <v>155</v>
      </c>
    </row>
    <row r="219" spans="1:3" x14ac:dyDescent="0.2">
      <c r="A219" s="17" t="s">
        <v>52</v>
      </c>
      <c r="B219" s="17" t="s">
        <v>154</v>
      </c>
      <c r="C219" s="17" t="s">
        <v>153</v>
      </c>
    </row>
    <row r="220" spans="1:3" x14ac:dyDescent="0.2">
      <c r="A220" s="17" t="s">
        <v>52</v>
      </c>
      <c r="B220" s="17" t="s">
        <v>152</v>
      </c>
      <c r="C220" s="17" t="s">
        <v>151</v>
      </c>
    </row>
    <row r="221" spans="1:3" x14ac:dyDescent="0.2">
      <c r="A221" s="17" t="s">
        <v>52</v>
      </c>
      <c r="B221" s="17" t="s">
        <v>150</v>
      </c>
      <c r="C221" s="17" t="s">
        <v>149</v>
      </c>
    </row>
    <row r="222" spans="1:3" x14ac:dyDescent="0.2">
      <c r="A222" s="17" t="s">
        <v>52</v>
      </c>
      <c r="B222" s="17" t="s">
        <v>148</v>
      </c>
      <c r="C222" s="17" t="s">
        <v>147</v>
      </c>
    </row>
    <row r="223" spans="1:3" x14ac:dyDescent="0.2">
      <c r="A223" s="17" t="s">
        <v>52</v>
      </c>
      <c r="B223" s="17" t="s">
        <v>146</v>
      </c>
      <c r="C223" s="17" t="s">
        <v>145</v>
      </c>
    </row>
    <row r="224" spans="1:3" x14ac:dyDescent="0.2">
      <c r="A224" s="17" t="s">
        <v>52</v>
      </c>
      <c r="B224" s="17" t="s">
        <v>144</v>
      </c>
      <c r="C224" s="17" t="s">
        <v>143</v>
      </c>
    </row>
    <row r="225" spans="1:3" x14ac:dyDescent="0.2">
      <c r="A225" s="17" t="s">
        <v>52</v>
      </c>
      <c r="B225" s="17" t="s">
        <v>142</v>
      </c>
      <c r="C225" s="17" t="s">
        <v>141</v>
      </c>
    </row>
    <row r="226" spans="1:3" x14ac:dyDescent="0.2">
      <c r="A226" s="17" t="s">
        <v>52</v>
      </c>
      <c r="B226" s="17" t="s">
        <v>140</v>
      </c>
      <c r="C226" s="17" t="s">
        <v>139</v>
      </c>
    </row>
    <row r="227" spans="1:3" x14ac:dyDescent="0.2">
      <c r="A227" s="17" t="s">
        <v>52</v>
      </c>
      <c r="B227" s="17" t="s">
        <v>138</v>
      </c>
      <c r="C227" s="17" t="s">
        <v>137</v>
      </c>
    </row>
    <row r="228" spans="1:3" x14ac:dyDescent="0.2">
      <c r="A228" s="17" t="s">
        <v>52</v>
      </c>
      <c r="B228" s="17" t="s">
        <v>136</v>
      </c>
      <c r="C228" s="17" t="s">
        <v>135</v>
      </c>
    </row>
    <row r="229" spans="1:3" x14ac:dyDescent="0.2">
      <c r="A229" s="17" t="s">
        <v>52</v>
      </c>
      <c r="B229" s="17" t="s">
        <v>134</v>
      </c>
      <c r="C229" s="17" t="s">
        <v>133</v>
      </c>
    </row>
    <row r="230" spans="1:3" x14ac:dyDescent="0.2">
      <c r="A230" s="17" t="s">
        <v>52</v>
      </c>
      <c r="B230" s="17" t="s">
        <v>132</v>
      </c>
      <c r="C230" s="17" t="s">
        <v>131</v>
      </c>
    </row>
    <row r="231" spans="1:3" x14ac:dyDescent="0.2">
      <c r="A231" s="17" t="s">
        <v>52</v>
      </c>
      <c r="B231" s="17" t="s">
        <v>130</v>
      </c>
      <c r="C231" s="17" t="s">
        <v>129</v>
      </c>
    </row>
    <row r="232" spans="1:3" x14ac:dyDescent="0.2">
      <c r="A232" s="17" t="s">
        <v>52</v>
      </c>
      <c r="B232" s="17" t="s">
        <v>128</v>
      </c>
      <c r="C232" s="17" t="s">
        <v>127</v>
      </c>
    </row>
    <row r="233" spans="1:3" x14ac:dyDescent="0.2">
      <c r="A233" s="17" t="s">
        <v>52</v>
      </c>
      <c r="B233" s="17" t="s">
        <v>126</v>
      </c>
      <c r="C233" s="17" t="s">
        <v>125</v>
      </c>
    </row>
    <row r="234" spans="1:3" x14ac:dyDescent="0.2">
      <c r="A234" s="17" t="s">
        <v>52</v>
      </c>
      <c r="B234" s="17" t="s">
        <v>124</v>
      </c>
      <c r="C234" s="17" t="s">
        <v>123</v>
      </c>
    </row>
    <row r="235" spans="1:3" x14ac:dyDescent="0.2">
      <c r="A235" s="17" t="s">
        <v>52</v>
      </c>
      <c r="B235" s="17" t="s">
        <v>122</v>
      </c>
      <c r="C235" s="17" t="s">
        <v>121</v>
      </c>
    </row>
    <row r="236" spans="1:3" x14ac:dyDescent="0.2">
      <c r="A236" s="17" t="s">
        <v>52</v>
      </c>
      <c r="B236" s="17" t="s">
        <v>120</v>
      </c>
      <c r="C236" s="17" t="s">
        <v>119</v>
      </c>
    </row>
    <row r="237" spans="1:3" x14ac:dyDescent="0.2">
      <c r="A237" s="17" t="s">
        <v>52</v>
      </c>
      <c r="B237" s="17" t="s">
        <v>118</v>
      </c>
      <c r="C237" s="17" t="s">
        <v>117</v>
      </c>
    </row>
    <row r="238" spans="1:3" x14ac:dyDescent="0.2">
      <c r="A238" s="17" t="s">
        <v>52</v>
      </c>
      <c r="B238" s="17" t="s">
        <v>116</v>
      </c>
      <c r="C238" s="17" t="s">
        <v>115</v>
      </c>
    </row>
    <row r="239" spans="1:3" x14ac:dyDescent="0.2">
      <c r="A239" s="17" t="s">
        <v>52</v>
      </c>
      <c r="B239" s="17" t="s">
        <v>114</v>
      </c>
      <c r="C239" s="17" t="s">
        <v>113</v>
      </c>
    </row>
    <row r="240" spans="1:3" x14ac:dyDescent="0.2">
      <c r="A240" s="17" t="s">
        <v>52</v>
      </c>
      <c r="B240" s="17" t="s">
        <v>112</v>
      </c>
      <c r="C240" s="17" t="s">
        <v>111</v>
      </c>
    </row>
    <row r="241" spans="1:3" x14ac:dyDescent="0.2">
      <c r="A241" s="17" t="s">
        <v>52</v>
      </c>
      <c r="B241" s="17" t="s">
        <v>110</v>
      </c>
      <c r="C241" s="17" t="s">
        <v>109</v>
      </c>
    </row>
    <row r="242" spans="1:3" x14ac:dyDescent="0.2">
      <c r="A242" s="17" t="s">
        <v>52</v>
      </c>
      <c r="B242" s="17" t="s">
        <v>108</v>
      </c>
      <c r="C242" s="17" t="s">
        <v>107</v>
      </c>
    </row>
    <row r="243" spans="1:3" x14ac:dyDescent="0.2">
      <c r="A243" s="17" t="s">
        <v>52</v>
      </c>
      <c r="B243" s="17" t="s">
        <v>106</v>
      </c>
      <c r="C243" s="17" t="s">
        <v>105</v>
      </c>
    </row>
    <row r="244" spans="1:3" x14ac:dyDescent="0.2">
      <c r="A244" s="17" t="s">
        <v>52</v>
      </c>
      <c r="B244" s="17" t="s">
        <v>104</v>
      </c>
      <c r="C244" s="17" t="s">
        <v>103</v>
      </c>
    </row>
    <row r="245" spans="1:3" x14ac:dyDescent="0.2">
      <c r="A245" s="17" t="s">
        <v>52</v>
      </c>
      <c r="B245" s="17" t="s">
        <v>102</v>
      </c>
      <c r="C245" s="17" t="s">
        <v>101</v>
      </c>
    </row>
    <row r="246" spans="1:3" x14ac:dyDescent="0.2">
      <c r="A246" s="17" t="s">
        <v>52</v>
      </c>
      <c r="B246" s="17" t="s">
        <v>100</v>
      </c>
      <c r="C246" s="17" t="s">
        <v>99</v>
      </c>
    </row>
    <row r="247" spans="1:3" x14ac:dyDescent="0.2">
      <c r="A247" s="17" t="s">
        <v>52</v>
      </c>
      <c r="B247" s="17" t="s">
        <v>98</v>
      </c>
      <c r="C247" s="17" t="s">
        <v>97</v>
      </c>
    </row>
    <row r="248" spans="1:3" x14ac:dyDescent="0.2">
      <c r="A248" s="17" t="s">
        <v>52</v>
      </c>
      <c r="B248" s="17" t="s">
        <v>96</v>
      </c>
      <c r="C248" s="17" t="s">
        <v>95</v>
      </c>
    </row>
    <row r="249" spans="1:3" x14ac:dyDescent="0.2">
      <c r="A249" s="17" t="s">
        <v>52</v>
      </c>
      <c r="B249" s="17" t="s">
        <v>94</v>
      </c>
      <c r="C249" s="17" t="s">
        <v>93</v>
      </c>
    </row>
    <row r="250" spans="1:3" x14ac:dyDescent="0.2">
      <c r="A250" s="17" t="s">
        <v>52</v>
      </c>
      <c r="B250" s="17" t="s">
        <v>92</v>
      </c>
      <c r="C250" s="17" t="s">
        <v>91</v>
      </c>
    </row>
    <row r="251" spans="1:3" x14ac:dyDescent="0.2">
      <c r="A251" s="17" t="s">
        <v>52</v>
      </c>
      <c r="B251" s="17" t="s">
        <v>90</v>
      </c>
      <c r="C251" s="17" t="s">
        <v>89</v>
      </c>
    </row>
    <row r="252" spans="1:3" x14ac:dyDescent="0.2">
      <c r="A252" s="17" t="s">
        <v>52</v>
      </c>
      <c r="B252" s="17" t="s">
        <v>88</v>
      </c>
      <c r="C252" s="17" t="s">
        <v>87</v>
      </c>
    </row>
    <row r="253" spans="1:3" x14ac:dyDescent="0.2">
      <c r="A253" s="17" t="s">
        <v>52</v>
      </c>
      <c r="B253" s="17" t="s">
        <v>86</v>
      </c>
      <c r="C253" s="17" t="s">
        <v>85</v>
      </c>
    </row>
    <row r="254" spans="1:3" x14ac:dyDescent="0.2">
      <c r="A254" s="17" t="s">
        <v>52</v>
      </c>
      <c r="B254" s="17" t="s">
        <v>84</v>
      </c>
      <c r="C254" s="17" t="s">
        <v>83</v>
      </c>
    </row>
    <row r="255" spans="1:3" x14ac:dyDescent="0.2">
      <c r="A255" s="17" t="s">
        <v>52</v>
      </c>
      <c r="B255" s="17" t="s">
        <v>82</v>
      </c>
      <c r="C255" s="17" t="s">
        <v>81</v>
      </c>
    </row>
    <row r="256" spans="1:3" x14ac:dyDescent="0.2">
      <c r="A256" s="17" t="s">
        <v>52</v>
      </c>
      <c r="B256" s="17" t="s">
        <v>80</v>
      </c>
      <c r="C256" s="17" t="s">
        <v>79</v>
      </c>
    </row>
    <row r="257" spans="1:3" x14ac:dyDescent="0.2">
      <c r="A257" s="17" t="s">
        <v>52</v>
      </c>
      <c r="B257" s="17" t="s">
        <v>78</v>
      </c>
      <c r="C257" s="17" t="s">
        <v>77</v>
      </c>
    </row>
    <row r="258" spans="1:3" x14ac:dyDescent="0.2">
      <c r="A258" s="17" t="s">
        <v>52</v>
      </c>
      <c r="B258" s="17" t="s">
        <v>76</v>
      </c>
      <c r="C258" s="17" t="s">
        <v>75</v>
      </c>
    </row>
    <row r="259" spans="1:3" x14ac:dyDescent="0.2">
      <c r="A259" s="17" t="s">
        <v>52</v>
      </c>
      <c r="B259" s="17" t="s">
        <v>74</v>
      </c>
      <c r="C259" s="17" t="s">
        <v>73</v>
      </c>
    </row>
    <row r="260" spans="1:3" x14ac:dyDescent="0.2">
      <c r="A260" s="17" t="s">
        <v>52</v>
      </c>
      <c r="B260" s="17" t="s">
        <v>72</v>
      </c>
      <c r="C260" s="17" t="s">
        <v>71</v>
      </c>
    </row>
    <row r="261" spans="1:3" x14ac:dyDescent="0.2">
      <c r="A261" s="17" t="s">
        <v>52</v>
      </c>
      <c r="B261" s="17" t="s">
        <v>70</v>
      </c>
      <c r="C261" s="17" t="s">
        <v>69</v>
      </c>
    </row>
    <row r="262" spans="1:3" x14ac:dyDescent="0.2">
      <c r="A262" s="17" t="s">
        <v>52</v>
      </c>
      <c r="B262" s="17" t="s">
        <v>68</v>
      </c>
      <c r="C262" s="17" t="s">
        <v>67</v>
      </c>
    </row>
    <row r="263" spans="1:3" x14ac:dyDescent="0.2">
      <c r="A263" s="17" t="s">
        <v>52</v>
      </c>
      <c r="B263" s="17" t="s">
        <v>66</v>
      </c>
      <c r="C263" s="17" t="s">
        <v>65</v>
      </c>
    </row>
    <row r="264" spans="1:3" x14ac:dyDescent="0.2">
      <c r="A264" s="17" t="s">
        <v>52</v>
      </c>
      <c r="B264" s="17" t="s">
        <v>64</v>
      </c>
      <c r="C264" s="17" t="s">
        <v>63</v>
      </c>
    </row>
    <row r="265" spans="1:3" x14ac:dyDescent="0.2">
      <c r="A265" s="17" t="s">
        <v>52</v>
      </c>
      <c r="B265" s="17" t="s">
        <v>62</v>
      </c>
      <c r="C265" s="17" t="s">
        <v>61</v>
      </c>
    </row>
    <row r="266" spans="1:3" x14ac:dyDescent="0.2">
      <c r="A266" s="17" t="s">
        <v>52</v>
      </c>
      <c r="B266" s="17" t="s">
        <v>60</v>
      </c>
      <c r="C266" s="17" t="s">
        <v>59</v>
      </c>
    </row>
    <row r="267" spans="1:3" x14ac:dyDescent="0.2">
      <c r="A267" s="17" t="s">
        <v>52</v>
      </c>
      <c r="B267" s="17" t="s">
        <v>58</v>
      </c>
      <c r="C267" s="17" t="s">
        <v>57</v>
      </c>
    </row>
    <row r="268" spans="1:3" x14ac:dyDescent="0.2">
      <c r="A268" s="17" t="s">
        <v>52</v>
      </c>
      <c r="B268" s="17" t="s">
        <v>56</v>
      </c>
      <c r="C268" s="17" t="s">
        <v>55</v>
      </c>
    </row>
    <row r="269" spans="1:3" x14ac:dyDescent="0.2">
      <c r="A269" s="17" t="s">
        <v>52</v>
      </c>
      <c r="B269" s="17" t="s">
        <v>54</v>
      </c>
      <c r="C269" s="17" t="s">
        <v>53</v>
      </c>
    </row>
    <row r="270" spans="1:3" x14ac:dyDescent="0.2">
      <c r="A270" s="17" t="s">
        <v>52</v>
      </c>
      <c r="B270" s="17" t="s">
        <v>51</v>
      </c>
      <c r="C270" s="17" t="s">
        <v>50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04A7A-50C2-4521-833D-68D6989DBF06}">
  <sheetPr>
    <tabColor rgb="FF7030A0"/>
  </sheetPr>
  <dimension ref="A1:H29"/>
  <sheetViews>
    <sheetView showGridLines="0" zoomScale="130" zoomScaleNormal="130" workbookViewId="0">
      <selection sqref="A1:E28"/>
    </sheetView>
  </sheetViews>
  <sheetFormatPr baseColWidth="10" defaultColWidth="11.42578125" defaultRowHeight="15" x14ac:dyDescent="0.25"/>
  <cols>
    <col min="1" max="1" width="2.28515625" customWidth="1"/>
    <col min="3" max="3" width="15.85546875" customWidth="1"/>
    <col min="4" max="4" width="11.42578125" style="4"/>
  </cols>
  <sheetData>
    <row r="1" spans="1:5" x14ac:dyDescent="0.25">
      <c r="A1" s="2" t="s">
        <v>734</v>
      </c>
    </row>
    <row r="2" spans="1:5" x14ac:dyDescent="0.25">
      <c r="A2" s="125" t="s">
        <v>18</v>
      </c>
      <c r="B2" s="125"/>
      <c r="C2" s="125"/>
      <c r="D2" s="125"/>
      <c r="E2" s="125"/>
    </row>
    <row r="3" spans="1:5" x14ac:dyDescent="0.25">
      <c r="A3" s="125" t="s">
        <v>605</v>
      </c>
      <c r="B3" s="125"/>
      <c r="C3" s="125"/>
      <c r="D3" s="125"/>
      <c r="E3" s="125"/>
    </row>
    <row r="4" spans="1:5" x14ac:dyDescent="0.25">
      <c r="A4" s="125" t="s">
        <v>19</v>
      </c>
      <c r="B4" s="125"/>
      <c r="C4" s="125"/>
      <c r="D4" s="125"/>
      <c r="E4" s="125"/>
    </row>
    <row r="5" spans="1:5" ht="8.25" customHeight="1" x14ac:dyDescent="0.25"/>
    <row r="6" spans="1:5" x14ac:dyDescent="0.25">
      <c r="A6" s="2" t="s">
        <v>0</v>
      </c>
    </row>
    <row r="7" spans="1:5" x14ac:dyDescent="0.25">
      <c r="A7" s="2"/>
      <c r="B7" s="2" t="s">
        <v>40</v>
      </c>
      <c r="D7" s="5">
        <f>SUM(D8:D11)</f>
        <v>494000</v>
      </c>
    </row>
    <row r="8" spans="1:5" x14ac:dyDescent="0.25">
      <c r="A8" s="2"/>
      <c r="B8" t="s">
        <v>49</v>
      </c>
      <c r="D8" s="4">
        <v>255000</v>
      </c>
    </row>
    <row r="9" spans="1:5" x14ac:dyDescent="0.25">
      <c r="A9" s="2"/>
      <c r="B9" t="s">
        <v>606</v>
      </c>
      <c r="D9" s="4">
        <v>100000</v>
      </c>
    </row>
    <row r="10" spans="1:5" x14ac:dyDescent="0.25">
      <c r="A10" s="2"/>
      <c r="B10" t="s">
        <v>42</v>
      </c>
      <c r="D10" s="4">
        <v>84000</v>
      </c>
    </row>
    <row r="11" spans="1:5" x14ac:dyDescent="0.25">
      <c r="A11" s="2"/>
      <c r="B11" t="s">
        <v>577</v>
      </c>
      <c r="D11" s="4">
        <v>55000</v>
      </c>
    </row>
    <row r="12" spans="1:5" ht="6" customHeight="1" x14ac:dyDescent="0.25">
      <c r="A12" s="2"/>
    </row>
    <row r="13" spans="1:5" x14ac:dyDescent="0.25">
      <c r="A13" s="2"/>
      <c r="B13" s="2" t="s">
        <v>41</v>
      </c>
      <c r="D13" s="5">
        <f>D14+D15</f>
        <v>57000</v>
      </c>
    </row>
    <row r="14" spans="1:5" x14ac:dyDescent="0.25">
      <c r="A14" s="2"/>
      <c r="B14" t="s">
        <v>578</v>
      </c>
      <c r="D14" s="4">
        <v>12000</v>
      </c>
    </row>
    <row r="15" spans="1:5" x14ac:dyDescent="0.25">
      <c r="A15" s="2"/>
      <c r="B15" t="s">
        <v>607</v>
      </c>
      <c r="D15" s="4">
        <v>45000</v>
      </c>
    </row>
    <row r="16" spans="1:5" ht="6.75" customHeight="1" x14ac:dyDescent="0.25">
      <c r="A16" s="2"/>
      <c r="B16" s="46"/>
      <c r="D16" s="6"/>
    </row>
    <row r="17" spans="1:8" s="2" customFormat="1" x14ac:dyDescent="0.25">
      <c r="B17" s="2" t="s">
        <v>21</v>
      </c>
      <c r="C17"/>
      <c r="D17" s="5">
        <f>D7+D13</f>
        <v>551000</v>
      </c>
    </row>
    <row r="18" spans="1:8" x14ac:dyDescent="0.25">
      <c r="A18" s="2"/>
      <c r="B18" s="47"/>
      <c r="C18" s="2"/>
      <c r="H18" t="s">
        <v>48</v>
      </c>
    </row>
    <row r="19" spans="1:8" x14ac:dyDescent="0.25">
      <c r="A19" s="2" t="s">
        <v>1</v>
      </c>
    </row>
    <row r="20" spans="1:8" x14ac:dyDescent="0.25">
      <c r="A20" s="2"/>
      <c r="B20" s="2" t="s">
        <v>2</v>
      </c>
      <c r="D20" s="5">
        <f>SUM(D21:D21)</f>
        <v>35000</v>
      </c>
    </row>
    <row r="21" spans="1:8" x14ac:dyDescent="0.25">
      <c r="A21" s="2"/>
      <c r="B21" t="s">
        <v>43</v>
      </c>
      <c r="D21" s="4">
        <v>35000</v>
      </c>
    </row>
    <row r="22" spans="1:8" ht="6.6" customHeight="1" x14ac:dyDescent="0.25">
      <c r="A22" s="2"/>
    </row>
    <row r="23" spans="1:8" x14ac:dyDescent="0.25">
      <c r="A23" s="2"/>
      <c r="B23" s="2" t="s">
        <v>6</v>
      </c>
      <c r="D23" s="5">
        <f>D24</f>
        <v>350000</v>
      </c>
    </row>
    <row r="24" spans="1:8" x14ac:dyDescent="0.25">
      <c r="A24" s="2"/>
      <c r="B24" t="s">
        <v>608</v>
      </c>
      <c r="D24" s="4">
        <v>350000</v>
      </c>
    </row>
    <row r="25" spans="1:8" x14ac:dyDescent="0.25">
      <c r="A25" s="2" t="s">
        <v>7</v>
      </c>
    </row>
    <row r="26" spans="1:8" x14ac:dyDescent="0.25">
      <c r="B26" t="s">
        <v>44</v>
      </c>
      <c r="D26" s="6">
        <f>SUM(D17-(D20+D23))</f>
        <v>166000</v>
      </c>
    </row>
    <row r="27" spans="1:8" ht="6.75" customHeight="1" x14ac:dyDescent="0.25">
      <c r="B27" s="46"/>
    </row>
    <row r="28" spans="1:8" s="2" customFormat="1" x14ac:dyDescent="0.25">
      <c r="B28" t="s">
        <v>9</v>
      </c>
      <c r="C28"/>
      <c r="D28" s="5">
        <f>SUM(D20+D26+D23)</f>
        <v>551000</v>
      </c>
    </row>
    <row r="29" spans="1:8" x14ac:dyDescent="0.25">
      <c r="B29" s="47"/>
      <c r="C29" s="2"/>
    </row>
  </sheetData>
  <mergeCells count="3">
    <mergeCell ref="A2:E2"/>
    <mergeCell ref="A3:E3"/>
    <mergeCell ref="A4:E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E186"/>
  <sheetViews>
    <sheetView showGridLines="0" topLeftCell="A172" zoomScale="99" zoomScaleNormal="99" workbookViewId="0">
      <selection activeCell="F182" sqref="F182"/>
    </sheetView>
  </sheetViews>
  <sheetFormatPr baseColWidth="10" defaultColWidth="11.42578125" defaultRowHeight="15" x14ac:dyDescent="0.25"/>
  <cols>
    <col min="1" max="1" width="10.28515625" customWidth="1"/>
    <col min="2" max="2" width="55.7109375" customWidth="1"/>
    <col min="3" max="3" width="12.42578125" style="4" customWidth="1"/>
    <col min="4" max="4" width="12.5703125" style="4" customWidth="1"/>
    <col min="5" max="5" width="11.85546875" bestFit="1" customWidth="1"/>
  </cols>
  <sheetData>
    <row r="1" spans="1:5" x14ac:dyDescent="0.25">
      <c r="A1" s="125" t="s">
        <v>17</v>
      </c>
      <c r="B1" s="125"/>
      <c r="C1" s="125"/>
      <c r="D1" s="125"/>
    </row>
    <row r="2" spans="1:5" ht="16.899999999999999" customHeight="1" x14ac:dyDescent="0.25"/>
    <row r="3" spans="1:5" ht="21.75" customHeight="1" x14ac:dyDescent="0.25">
      <c r="A3" s="3" t="s">
        <v>10</v>
      </c>
      <c r="B3" s="3" t="s">
        <v>11</v>
      </c>
      <c r="C3" s="7" t="s">
        <v>12</v>
      </c>
      <c r="D3" s="7" t="s">
        <v>13</v>
      </c>
    </row>
    <row r="4" spans="1:5" x14ac:dyDescent="0.25">
      <c r="A4" s="126">
        <v>44927</v>
      </c>
      <c r="B4" s="36" t="s">
        <v>609</v>
      </c>
      <c r="C4" s="37"/>
      <c r="D4" s="37"/>
    </row>
    <row r="5" spans="1:5" x14ac:dyDescent="0.25">
      <c r="A5" s="127"/>
      <c r="B5" s="38" t="s">
        <v>22</v>
      </c>
      <c r="C5" s="37">
        <v>255000</v>
      </c>
      <c r="D5" s="37"/>
      <c r="E5" s="4"/>
    </row>
    <row r="6" spans="1:5" x14ac:dyDescent="0.25">
      <c r="A6" s="127"/>
      <c r="B6" s="38" t="s">
        <v>24</v>
      </c>
      <c r="C6" s="37">
        <v>100000</v>
      </c>
      <c r="D6" s="37"/>
    </row>
    <row r="7" spans="1:5" x14ac:dyDescent="0.25">
      <c r="A7" s="127"/>
      <c r="B7" s="38" t="s">
        <v>20</v>
      </c>
      <c r="C7" s="37">
        <v>84000</v>
      </c>
      <c r="D7" s="37"/>
    </row>
    <row r="8" spans="1:5" x14ac:dyDescent="0.25">
      <c r="A8" s="127"/>
      <c r="B8" s="38" t="s">
        <v>579</v>
      </c>
      <c r="C8" s="37">
        <v>55000</v>
      </c>
      <c r="D8" s="37"/>
    </row>
    <row r="9" spans="1:5" x14ac:dyDescent="0.25">
      <c r="A9" s="127"/>
      <c r="B9" s="38" t="s">
        <v>5</v>
      </c>
      <c r="C9" s="37">
        <v>12000</v>
      </c>
      <c r="D9" s="37"/>
    </row>
    <row r="10" spans="1:5" x14ac:dyDescent="0.25">
      <c r="A10" s="127"/>
      <c r="B10" s="38" t="s">
        <v>618</v>
      </c>
      <c r="C10" s="37">
        <v>45000</v>
      </c>
      <c r="D10" s="37"/>
    </row>
    <row r="11" spans="1:5" x14ac:dyDescent="0.25">
      <c r="A11" s="127"/>
      <c r="B11" s="39" t="s">
        <v>45</v>
      </c>
      <c r="C11" s="37"/>
      <c r="D11" s="37">
        <v>35000</v>
      </c>
    </row>
    <row r="12" spans="1:5" x14ac:dyDescent="0.25">
      <c r="A12" s="127"/>
      <c r="B12" s="39" t="s">
        <v>580</v>
      </c>
      <c r="C12" s="37"/>
      <c r="D12" s="37">
        <v>350000</v>
      </c>
    </row>
    <row r="13" spans="1:5" x14ac:dyDescent="0.25">
      <c r="A13" s="127"/>
      <c r="B13" s="39" t="s">
        <v>3</v>
      </c>
      <c r="C13" s="37"/>
      <c r="D13" s="37">
        <v>166000</v>
      </c>
    </row>
    <row r="14" spans="1:5" x14ac:dyDescent="0.25">
      <c r="A14" s="128"/>
      <c r="B14" s="38" t="s">
        <v>610</v>
      </c>
      <c r="C14" s="37"/>
      <c r="D14" s="37"/>
    </row>
    <row r="15" spans="1:5" x14ac:dyDescent="0.25">
      <c r="A15" s="126">
        <v>44928</v>
      </c>
      <c r="B15" s="36" t="s">
        <v>612</v>
      </c>
      <c r="C15" s="37"/>
      <c r="D15" s="37"/>
    </row>
    <row r="16" spans="1:5" x14ac:dyDescent="0.25">
      <c r="A16" s="127"/>
      <c r="B16" s="38" t="s">
        <v>619</v>
      </c>
      <c r="C16" s="37">
        <f>D18*87/100</f>
        <v>3045</v>
      </c>
      <c r="D16" s="37"/>
    </row>
    <row r="17" spans="1:4" x14ac:dyDescent="0.25">
      <c r="A17" s="127"/>
      <c r="B17" s="38" t="s">
        <v>25</v>
      </c>
      <c r="C17" s="37">
        <f>D18*13/100</f>
        <v>455</v>
      </c>
      <c r="D17" s="37"/>
    </row>
    <row r="18" spans="1:4" x14ac:dyDescent="0.25">
      <c r="A18" s="127"/>
      <c r="B18" s="39" t="s">
        <v>24</v>
      </c>
      <c r="C18" s="37"/>
      <c r="D18" s="37">
        <v>3500</v>
      </c>
    </row>
    <row r="19" spans="1:4" x14ac:dyDescent="0.25">
      <c r="A19" s="128"/>
      <c r="B19" s="41" t="s">
        <v>620</v>
      </c>
      <c r="C19" s="8"/>
      <c r="D19" s="8"/>
    </row>
    <row r="20" spans="1:4" x14ac:dyDescent="0.25">
      <c r="A20" s="126">
        <v>44928</v>
      </c>
      <c r="B20" s="36" t="s">
        <v>611</v>
      </c>
      <c r="C20" s="8"/>
      <c r="D20" s="8"/>
    </row>
    <row r="21" spans="1:4" x14ac:dyDescent="0.25">
      <c r="A21" s="127"/>
      <c r="B21" s="41" t="s">
        <v>20</v>
      </c>
      <c r="C21" s="8">
        <f>65000-C22</f>
        <v>56550</v>
      </c>
      <c r="D21" s="8"/>
    </row>
    <row r="22" spans="1:4" x14ac:dyDescent="0.25">
      <c r="A22" s="127"/>
      <c r="B22" s="41" t="s">
        <v>25</v>
      </c>
      <c r="C22" s="8">
        <v>8450</v>
      </c>
      <c r="D22" s="8"/>
    </row>
    <row r="23" spans="1:4" x14ac:dyDescent="0.25">
      <c r="A23" s="127"/>
      <c r="B23" s="40" t="s">
        <v>22</v>
      </c>
      <c r="D23" s="8">
        <v>32500</v>
      </c>
    </row>
    <row r="24" spans="1:4" x14ac:dyDescent="0.25">
      <c r="A24" s="127"/>
      <c r="B24" s="40" t="s">
        <v>45</v>
      </c>
      <c r="C24" s="8"/>
      <c r="D24" s="8">
        <v>32500</v>
      </c>
    </row>
    <row r="25" spans="1:4" x14ac:dyDescent="0.25">
      <c r="A25" s="128"/>
      <c r="B25" s="41" t="s">
        <v>621</v>
      </c>
      <c r="C25" s="8"/>
      <c r="D25" s="8"/>
    </row>
    <row r="26" spans="1:4" x14ac:dyDescent="0.25">
      <c r="A26" s="126">
        <v>44930</v>
      </c>
      <c r="B26" s="42" t="s">
        <v>624</v>
      </c>
      <c r="C26" s="8"/>
      <c r="D26" s="8"/>
    </row>
    <row r="27" spans="1:4" x14ac:dyDescent="0.25">
      <c r="A27" s="127"/>
      <c r="B27" s="41" t="s">
        <v>20</v>
      </c>
      <c r="C27" s="8">
        <f>200000-C28</f>
        <v>174000</v>
      </c>
      <c r="D27" s="8"/>
    </row>
    <row r="28" spans="1:4" x14ac:dyDescent="0.25">
      <c r="A28" s="127"/>
      <c r="B28" s="41" t="s">
        <v>25</v>
      </c>
      <c r="C28" s="8">
        <v>26000</v>
      </c>
      <c r="D28" s="8"/>
    </row>
    <row r="29" spans="1:4" x14ac:dyDescent="0.25">
      <c r="A29" s="127"/>
      <c r="B29" s="40" t="s">
        <v>22</v>
      </c>
      <c r="C29" s="8"/>
      <c r="D29" s="8">
        <v>90000</v>
      </c>
    </row>
    <row r="30" spans="1:4" x14ac:dyDescent="0.25">
      <c r="A30" s="127"/>
      <c r="B30" s="40" t="s">
        <v>45</v>
      </c>
      <c r="C30" s="8"/>
      <c r="D30" s="8">
        <v>110000</v>
      </c>
    </row>
    <row r="31" spans="1:4" x14ac:dyDescent="0.25">
      <c r="A31" s="128"/>
      <c r="B31" s="41" t="s">
        <v>623</v>
      </c>
      <c r="C31" s="8"/>
      <c r="D31" s="8" t="s">
        <v>622</v>
      </c>
    </row>
    <row r="32" spans="1:4" x14ac:dyDescent="0.25">
      <c r="A32" s="126">
        <v>44930</v>
      </c>
      <c r="B32" s="42" t="s">
        <v>628</v>
      </c>
      <c r="C32" s="8"/>
      <c r="D32" s="8"/>
    </row>
    <row r="33" spans="1:4" x14ac:dyDescent="0.25">
      <c r="A33" s="127"/>
      <c r="B33" s="41" t="s">
        <v>24</v>
      </c>
      <c r="C33" s="8">
        <f>55000*0.6</f>
        <v>33000</v>
      </c>
      <c r="D33" s="8"/>
    </row>
    <row r="34" spans="1:4" x14ac:dyDescent="0.25">
      <c r="A34" s="127"/>
      <c r="B34" s="41" t="s">
        <v>47</v>
      </c>
      <c r="C34" s="8">
        <f>55000*0.4</f>
        <v>22000</v>
      </c>
      <c r="D34" s="8"/>
    </row>
    <row r="35" spans="1:4" x14ac:dyDescent="0.25">
      <c r="A35" s="127"/>
      <c r="B35" s="41" t="s">
        <v>46</v>
      </c>
      <c r="C35" s="8">
        <f>55000*0.03</f>
        <v>1650</v>
      </c>
      <c r="D35" s="8"/>
    </row>
    <row r="36" spans="1:4" x14ac:dyDescent="0.25">
      <c r="A36" s="127"/>
      <c r="B36" s="43" t="s">
        <v>14</v>
      </c>
      <c r="C36" s="8"/>
      <c r="D36" s="8">
        <f>55000*0.87</f>
        <v>47850</v>
      </c>
    </row>
    <row r="37" spans="1:4" x14ac:dyDescent="0.25">
      <c r="A37" s="127"/>
      <c r="B37" s="43" t="s">
        <v>15</v>
      </c>
      <c r="C37" s="8"/>
      <c r="D37" s="8">
        <f>55000*0.13</f>
        <v>7150</v>
      </c>
    </row>
    <row r="38" spans="1:4" x14ac:dyDescent="0.25">
      <c r="A38" s="127"/>
      <c r="B38" s="43" t="s">
        <v>581</v>
      </c>
      <c r="C38" s="8"/>
      <c r="D38" s="8">
        <f>55000*0.03</f>
        <v>1650</v>
      </c>
    </row>
    <row r="39" spans="1:4" x14ac:dyDescent="0.25">
      <c r="A39" s="128"/>
      <c r="B39" s="41" t="s">
        <v>625</v>
      </c>
      <c r="C39" s="8"/>
      <c r="D39" s="8"/>
    </row>
    <row r="40" spans="1:4" x14ac:dyDescent="0.25">
      <c r="A40" s="126">
        <v>44931</v>
      </c>
      <c r="B40" s="42" t="s">
        <v>614</v>
      </c>
      <c r="C40" s="8"/>
      <c r="D40" s="8"/>
    </row>
    <row r="41" spans="1:4" x14ac:dyDescent="0.25">
      <c r="A41" s="127"/>
      <c r="B41" s="41" t="s">
        <v>626</v>
      </c>
      <c r="C41" s="8">
        <f>950*0.87</f>
        <v>826.5</v>
      </c>
      <c r="D41" s="8"/>
    </row>
    <row r="42" spans="1:4" x14ac:dyDescent="0.25">
      <c r="A42" s="127"/>
      <c r="B42" s="41" t="s">
        <v>25</v>
      </c>
      <c r="C42" s="8">
        <f>950*0.13</f>
        <v>123.5</v>
      </c>
      <c r="D42" s="8"/>
    </row>
    <row r="43" spans="1:4" x14ac:dyDescent="0.25">
      <c r="A43" s="127"/>
      <c r="B43" s="40" t="s">
        <v>24</v>
      </c>
      <c r="C43" s="8"/>
      <c r="D43" s="8">
        <v>950</v>
      </c>
    </row>
    <row r="44" spans="1:4" x14ac:dyDescent="0.25">
      <c r="A44" s="128"/>
      <c r="B44" s="41" t="s">
        <v>627</v>
      </c>
      <c r="C44" s="8"/>
      <c r="D44" s="8"/>
    </row>
    <row r="45" spans="1:4" x14ac:dyDescent="0.25">
      <c r="A45" s="126">
        <v>44931</v>
      </c>
      <c r="B45" s="36" t="s">
        <v>615</v>
      </c>
      <c r="C45" s="8"/>
      <c r="D45" s="8"/>
    </row>
    <row r="46" spans="1:4" x14ac:dyDescent="0.25">
      <c r="A46" s="127"/>
      <c r="B46" s="41" t="s">
        <v>20</v>
      </c>
      <c r="C46" s="8">
        <f>95000*0.87</f>
        <v>82650</v>
      </c>
      <c r="D46" s="8"/>
    </row>
    <row r="47" spans="1:4" x14ac:dyDescent="0.25">
      <c r="A47" s="127"/>
      <c r="B47" s="41" t="s">
        <v>25</v>
      </c>
      <c r="C47" s="8">
        <f>95000*13/100</f>
        <v>12350</v>
      </c>
      <c r="D47" s="8"/>
    </row>
    <row r="48" spans="1:4" x14ac:dyDescent="0.25">
      <c r="A48" s="127"/>
      <c r="B48" s="40" t="s">
        <v>22</v>
      </c>
      <c r="C48" s="8"/>
      <c r="D48" s="8">
        <f>95000*0.8</f>
        <v>76000</v>
      </c>
    </row>
    <row r="49" spans="1:4" x14ac:dyDescent="0.25">
      <c r="A49" s="127"/>
      <c r="B49" s="40" t="s">
        <v>24</v>
      </c>
      <c r="C49" s="8"/>
      <c r="D49" s="8">
        <f>95000*0.2</f>
        <v>19000</v>
      </c>
    </row>
    <row r="50" spans="1:4" x14ac:dyDescent="0.25">
      <c r="A50" s="128"/>
      <c r="B50" s="41" t="s">
        <v>629</v>
      </c>
      <c r="C50" s="8"/>
      <c r="D50" s="8"/>
    </row>
    <row r="51" spans="1:4" x14ac:dyDescent="0.25">
      <c r="A51" s="126">
        <v>44932</v>
      </c>
      <c r="B51" s="36" t="s">
        <v>613</v>
      </c>
      <c r="C51" s="8"/>
      <c r="D51" s="8"/>
    </row>
    <row r="52" spans="1:4" x14ac:dyDescent="0.25">
      <c r="A52" s="127"/>
      <c r="B52" s="41" t="s">
        <v>22</v>
      </c>
      <c r="C52" s="8">
        <f>61500*0.42</f>
        <v>25830</v>
      </c>
      <c r="D52" s="8"/>
    </row>
    <row r="53" spans="1:4" x14ac:dyDescent="0.25">
      <c r="A53" s="127"/>
      <c r="B53" s="41" t="s">
        <v>47</v>
      </c>
      <c r="C53" s="8">
        <f>61500*0.58</f>
        <v>35670</v>
      </c>
      <c r="D53" s="8"/>
    </row>
    <row r="54" spans="1:4" x14ac:dyDescent="0.25">
      <c r="A54" s="127"/>
      <c r="B54" s="41" t="s">
        <v>46</v>
      </c>
      <c r="C54" s="8">
        <f>61500*0.03</f>
        <v>1845</v>
      </c>
      <c r="D54" s="8"/>
    </row>
    <row r="55" spans="1:4" x14ac:dyDescent="0.25">
      <c r="A55" s="127"/>
      <c r="B55" s="43" t="s">
        <v>14</v>
      </c>
      <c r="C55" s="8" t="s">
        <v>622</v>
      </c>
      <c r="D55" s="8">
        <f>61500*0.87</f>
        <v>53505</v>
      </c>
    </row>
    <row r="56" spans="1:4" x14ac:dyDescent="0.25">
      <c r="A56" s="127"/>
      <c r="B56" s="43" t="s">
        <v>15</v>
      </c>
      <c r="C56" s="8"/>
      <c r="D56" s="8">
        <f>61500*0.13</f>
        <v>7995</v>
      </c>
    </row>
    <row r="57" spans="1:4" x14ac:dyDescent="0.25">
      <c r="A57" s="127"/>
      <c r="B57" s="43" t="s">
        <v>581</v>
      </c>
      <c r="C57" s="8"/>
      <c r="D57" s="8">
        <f>61500*0.03</f>
        <v>1845</v>
      </c>
    </row>
    <row r="58" spans="1:4" x14ac:dyDescent="0.25">
      <c r="A58" s="128"/>
      <c r="B58" s="41" t="s">
        <v>631</v>
      </c>
      <c r="C58" s="8"/>
      <c r="D58" s="8"/>
    </row>
    <row r="59" spans="1:4" x14ac:dyDescent="0.25">
      <c r="A59" s="136">
        <v>44933</v>
      </c>
      <c r="B59" s="36" t="s">
        <v>630</v>
      </c>
      <c r="C59" s="8"/>
      <c r="D59" s="8"/>
    </row>
    <row r="60" spans="1:4" x14ac:dyDescent="0.25">
      <c r="A60" s="136"/>
      <c r="B60" s="41" t="s">
        <v>24</v>
      </c>
      <c r="C60" s="8">
        <f>32500*0.72</f>
        <v>23400</v>
      </c>
      <c r="D60" s="8"/>
    </row>
    <row r="61" spans="1:4" x14ac:dyDescent="0.25">
      <c r="A61" s="136"/>
      <c r="B61" s="41" t="s">
        <v>47</v>
      </c>
      <c r="C61" s="8">
        <f>32500*0.28</f>
        <v>9100</v>
      </c>
      <c r="D61" s="8"/>
    </row>
    <row r="62" spans="1:4" x14ac:dyDescent="0.25">
      <c r="A62" s="136"/>
      <c r="B62" s="41" t="s">
        <v>46</v>
      </c>
      <c r="C62" s="8">
        <f>32500*0.03</f>
        <v>975</v>
      </c>
      <c r="D62" s="8"/>
    </row>
    <row r="63" spans="1:4" x14ac:dyDescent="0.25">
      <c r="A63" s="136"/>
      <c r="B63" s="43" t="s">
        <v>14</v>
      </c>
      <c r="C63" s="8"/>
      <c r="D63" s="8">
        <f>32500*0.87</f>
        <v>28275</v>
      </c>
    </row>
    <row r="64" spans="1:4" x14ac:dyDescent="0.25">
      <c r="A64" s="136"/>
      <c r="B64" s="43" t="s">
        <v>15</v>
      </c>
      <c r="C64" s="8"/>
      <c r="D64" s="8">
        <f>32500*0.13</f>
        <v>4225</v>
      </c>
    </row>
    <row r="65" spans="1:4" x14ac:dyDescent="0.25">
      <c r="A65" s="136"/>
      <c r="B65" s="43" t="s">
        <v>581</v>
      </c>
      <c r="C65" s="8"/>
      <c r="D65" s="8">
        <f>32500*0.03</f>
        <v>975</v>
      </c>
    </row>
    <row r="66" spans="1:4" x14ac:dyDescent="0.25">
      <c r="A66" s="136"/>
      <c r="B66" s="44" t="s">
        <v>632</v>
      </c>
      <c r="C66" s="8"/>
      <c r="D66" s="8"/>
    </row>
    <row r="67" spans="1:4" x14ac:dyDescent="0.25">
      <c r="A67" s="126">
        <v>44933</v>
      </c>
      <c r="B67" s="36" t="s">
        <v>617</v>
      </c>
      <c r="C67" s="8"/>
      <c r="D67" s="8"/>
    </row>
    <row r="68" spans="1:4" x14ac:dyDescent="0.25">
      <c r="A68" s="127"/>
      <c r="B68" s="41" t="s">
        <v>20</v>
      </c>
      <c r="C68" s="8">
        <f>200000*0.87</f>
        <v>174000</v>
      </c>
      <c r="D68" s="8"/>
    </row>
    <row r="69" spans="1:4" x14ac:dyDescent="0.25">
      <c r="A69" s="127"/>
      <c r="B69" s="41" t="s">
        <v>25</v>
      </c>
      <c r="C69" s="8">
        <f>200000*0.13</f>
        <v>26000</v>
      </c>
      <c r="D69" s="8"/>
    </row>
    <row r="70" spans="1:4" x14ac:dyDescent="0.25">
      <c r="A70" s="127"/>
      <c r="B70" s="40" t="s">
        <v>45</v>
      </c>
      <c r="C70" s="8"/>
      <c r="D70" s="8">
        <v>200000</v>
      </c>
    </row>
    <row r="71" spans="1:4" x14ac:dyDescent="0.25">
      <c r="A71" s="128"/>
      <c r="B71" s="45" t="s">
        <v>633</v>
      </c>
      <c r="C71" s="8"/>
      <c r="D71" s="8"/>
    </row>
    <row r="72" spans="1:4" x14ac:dyDescent="0.25">
      <c r="A72" s="126">
        <v>44934</v>
      </c>
      <c r="B72" s="36" t="s">
        <v>616</v>
      </c>
      <c r="C72" s="8"/>
      <c r="D72" s="8"/>
    </row>
    <row r="73" spans="1:4" x14ac:dyDescent="0.25">
      <c r="A73" s="127"/>
      <c r="B73" s="41" t="s">
        <v>5</v>
      </c>
      <c r="C73" s="8">
        <f>3000*0.87</f>
        <v>2610</v>
      </c>
      <c r="D73" s="8"/>
    </row>
    <row r="74" spans="1:4" x14ac:dyDescent="0.25">
      <c r="A74" s="127"/>
      <c r="B74" s="41" t="s">
        <v>25</v>
      </c>
      <c r="C74" s="8">
        <f>3000*0.13</f>
        <v>390</v>
      </c>
      <c r="D74" s="8"/>
    </row>
    <row r="75" spans="1:4" x14ac:dyDescent="0.25">
      <c r="A75" s="127"/>
      <c r="B75" s="40" t="s">
        <v>24</v>
      </c>
      <c r="C75" s="8"/>
      <c r="D75" s="8">
        <v>3000</v>
      </c>
    </row>
    <row r="76" spans="1:4" x14ac:dyDescent="0.25">
      <c r="A76" s="128"/>
      <c r="B76" s="41" t="s">
        <v>634</v>
      </c>
      <c r="C76" s="8"/>
      <c r="D76" s="8"/>
    </row>
    <row r="77" spans="1:4" x14ac:dyDescent="0.25">
      <c r="A77" s="126">
        <v>44938</v>
      </c>
      <c r="B77" s="36" t="s">
        <v>617</v>
      </c>
      <c r="C77" s="8"/>
      <c r="D77" s="8"/>
    </row>
    <row r="78" spans="1:4" x14ac:dyDescent="0.25">
      <c r="A78" s="127"/>
      <c r="B78" s="41" t="s">
        <v>20</v>
      </c>
      <c r="C78" s="8">
        <f>250000*0.87</f>
        <v>217500</v>
      </c>
      <c r="D78" s="8"/>
    </row>
    <row r="79" spans="1:4" x14ac:dyDescent="0.25">
      <c r="A79" s="127"/>
      <c r="B79" s="41" t="s">
        <v>25</v>
      </c>
      <c r="C79" s="8">
        <f>250000*0.13</f>
        <v>32500</v>
      </c>
      <c r="D79" s="8"/>
    </row>
    <row r="80" spans="1:4" x14ac:dyDescent="0.25">
      <c r="A80" s="127"/>
      <c r="B80" s="40" t="s">
        <v>24</v>
      </c>
      <c r="C80" s="8" t="s">
        <v>622</v>
      </c>
      <c r="D80" s="8">
        <v>250000</v>
      </c>
    </row>
    <row r="81" spans="1:4" x14ac:dyDescent="0.25">
      <c r="A81" s="128"/>
      <c r="B81" s="41" t="s">
        <v>635</v>
      </c>
      <c r="C81" s="8"/>
      <c r="D81" s="8"/>
    </row>
    <row r="82" spans="1:4" x14ac:dyDescent="0.25">
      <c r="A82" s="136">
        <v>44939</v>
      </c>
      <c r="B82" s="36" t="s">
        <v>636</v>
      </c>
      <c r="C82" s="8"/>
      <c r="D82" s="8"/>
    </row>
    <row r="83" spans="1:4" x14ac:dyDescent="0.25">
      <c r="A83" s="136"/>
      <c r="B83" s="41" t="s">
        <v>22</v>
      </c>
      <c r="C83" s="8">
        <v>9100</v>
      </c>
      <c r="D83" s="8"/>
    </row>
    <row r="84" spans="1:4" x14ac:dyDescent="0.25">
      <c r="A84" s="136"/>
      <c r="B84" s="40" t="s">
        <v>47</v>
      </c>
      <c r="C84" s="8"/>
      <c r="D84" s="8">
        <v>9100</v>
      </c>
    </row>
    <row r="85" spans="1:4" x14ac:dyDescent="0.25">
      <c r="A85" s="136"/>
      <c r="B85" s="45" t="s">
        <v>637</v>
      </c>
      <c r="C85" s="8"/>
      <c r="D85" s="8"/>
    </row>
    <row r="86" spans="1:4" x14ac:dyDescent="0.25">
      <c r="A86" s="126">
        <v>44940</v>
      </c>
      <c r="B86" s="36" t="s">
        <v>638</v>
      </c>
      <c r="C86" s="8"/>
      <c r="D86" s="8"/>
    </row>
    <row r="87" spans="1:4" x14ac:dyDescent="0.25">
      <c r="A87" s="127"/>
      <c r="B87" s="41" t="s">
        <v>639</v>
      </c>
      <c r="C87" s="8">
        <f>D89*0.87</f>
        <v>4350</v>
      </c>
      <c r="D87" s="8"/>
    </row>
    <row r="88" spans="1:4" x14ac:dyDescent="0.25">
      <c r="A88" s="127"/>
      <c r="B88" s="41" t="s">
        <v>25</v>
      </c>
      <c r="C88" s="8">
        <f>D89*0.13</f>
        <v>650</v>
      </c>
      <c r="D88" s="8"/>
    </row>
    <row r="89" spans="1:4" x14ac:dyDescent="0.25">
      <c r="A89" s="127"/>
      <c r="B89" s="40" t="s">
        <v>22</v>
      </c>
      <c r="C89" s="8"/>
      <c r="D89" s="8">
        <v>5000</v>
      </c>
    </row>
    <row r="90" spans="1:4" x14ac:dyDescent="0.25">
      <c r="A90" s="128"/>
      <c r="B90" s="41" t="s">
        <v>640</v>
      </c>
      <c r="C90" s="8"/>
      <c r="D90" s="8"/>
    </row>
    <row r="91" spans="1:4" x14ac:dyDescent="0.25">
      <c r="A91" s="126">
        <v>44941</v>
      </c>
      <c r="B91" s="36" t="s">
        <v>647</v>
      </c>
      <c r="C91" s="8"/>
      <c r="D91" s="8"/>
    </row>
    <row r="92" spans="1:4" x14ac:dyDescent="0.25">
      <c r="A92" s="127"/>
      <c r="B92" s="41" t="s">
        <v>641</v>
      </c>
      <c r="C92" s="8">
        <f>70550+35000+180000</f>
        <v>285550</v>
      </c>
      <c r="D92" s="8"/>
    </row>
    <row r="93" spans="1:4" x14ac:dyDescent="0.25">
      <c r="A93" s="127"/>
      <c r="B93" s="40" t="s">
        <v>22</v>
      </c>
      <c r="C93" s="8"/>
      <c r="D93" s="8">
        <f>C92-D94</f>
        <v>249256.595</v>
      </c>
    </row>
    <row r="94" spans="1:4" x14ac:dyDescent="0.25">
      <c r="A94" s="127"/>
      <c r="B94" s="40" t="s">
        <v>603</v>
      </c>
      <c r="C94" s="8"/>
      <c r="D94" s="8">
        <f>C92*12.71/100</f>
        <v>36293.405000000006</v>
      </c>
    </row>
    <row r="95" spans="1:4" x14ac:dyDescent="0.25">
      <c r="A95" s="128"/>
      <c r="B95" s="41" t="s">
        <v>652</v>
      </c>
      <c r="C95" s="8"/>
      <c r="D95" s="8"/>
    </row>
    <row r="96" spans="1:4" ht="13.9" customHeight="1" x14ac:dyDescent="0.25">
      <c r="A96" s="129">
        <v>44941</v>
      </c>
      <c r="B96" s="36" t="s">
        <v>653</v>
      </c>
      <c r="C96" s="8"/>
      <c r="D96" s="8"/>
    </row>
    <row r="97" spans="1:4" ht="13.9" customHeight="1" x14ac:dyDescent="0.25">
      <c r="A97" s="129"/>
      <c r="B97" s="41" t="s">
        <v>642</v>
      </c>
      <c r="C97" s="8">
        <f>C92*6.71/100</f>
        <v>19160.404999999999</v>
      </c>
      <c r="D97" s="8"/>
    </row>
    <row r="98" spans="1:4" ht="13.9" customHeight="1" x14ac:dyDescent="0.25">
      <c r="A98" s="129"/>
      <c r="B98" s="41" t="s">
        <v>643</v>
      </c>
      <c r="C98" s="8">
        <f>C92*10/100</f>
        <v>28555</v>
      </c>
      <c r="D98" s="8"/>
    </row>
    <row r="99" spans="1:4" ht="13.9" customHeight="1" x14ac:dyDescent="0.25">
      <c r="A99" s="129"/>
      <c r="B99" s="41" t="s">
        <v>644</v>
      </c>
      <c r="C99" s="8">
        <v>35454.83</v>
      </c>
      <c r="D99" s="8"/>
    </row>
    <row r="100" spans="1:4" ht="13.9" customHeight="1" x14ac:dyDescent="0.25">
      <c r="A100" s="129"/>
      <c r="B100" s="41" t="s">
        <v>645</v>
      </c>
      <c r="C100" s="8">
        <v>35454.83</v>
      </c>
      <c r="D100" s="8"/>
    </row>
    <row r="101" spans="1:4" ht="13.9" customHeight="1" x14ac:dyDescent="0.25">
      <c r="A101" s="129"/>
      <c r="B101" s="41" t="s">
        <v>646</v>
      </c>
      <c r="C101" s="8">
        <v>35454.83</v>
      </c>
      <c r="D101" s="8"/>
    </row>
    <row r="102" spans="1:4" ht="13.9" customHeight="1" x14ac:dyDescent="0.25">
      <c r="A102" s="129"/>
      <c r="B102" s="40" t="s">
        <v>648</v>
      </c>
      <c r="C102" s="8"/>
      <c r="D102" s="8">
        <f>+C97</f>
        <v>19160.404999999999</v>
      </c>
    </row>
    <row r="103" spans="1:4" ht="13.9" customHeight="1" x14ac:dyDescent="0.25">
      <c r="A103" s="129"/>
      <c r="B103" s="40" t="s">
        <v>649</v>
      </c>
      <c r="C103" s="8"/>
      <c r="D103" s="8">
        <f>+C98</f>
        <v>28555</v>
      </c>
    </row>
    <row r="104" spans="1:4" x14ac:dyDescent="0.25">
      <c r="A104" s="129"/>
      <c r="B104" s="40" t="s">
        <v>650</v>
      </c>
      <c r="C104" s="8"/>
      <c r="D104" s="8">
        <f>+C99</f>
        <v>35454.83</v>
      </c>
    </row>
    <row r="105" spans="1:4" x14ac:dyDescent="0.25">
      <c r="A105" s="129"/>
      <c r="B105" s="40" t="s">
        <v>651</v>
      </c>
      <c r="C105" s="8"/>
      <c r="D105" s="8">
        <f>+C100</f>
        <v>35454.83</v>
      </c>
    </row>
    <row r="106" spans="1:4" x14ac:dyDescent="0.25">
      <c r="A106" s="129"/>
      <c r="B106" s="40" t="s">
        <v>23</v>
      </c>
      <c r="C106" s="8"/>
      <c r="D106" s="8">
        <f>+C101</f>
        <v>35454.83</v>
      </c>
    </row>
    <row r="107" spans="1:4" x14ac:dyDescent="0.25">
      <c r="A107" s="129"/>
      <c r="B107" s="41" t="s">
        <v>658</v>
      </c>
      <c r="C107" s="8"/>
      <c r="D107" s="8"/>
    </row>
    <row r="108" spans="1:4" x14ac:dyDescent="0.25">
      <c r="A108" s="130">
        <v>44942</v>
      </c>
      <c r="B108" s="36" t="s">
        <v>654</v>
      </c>
      <c r="C108" s="8"/>
      <c r="D108" s="8"/>
    </row>
    <row r="109" spans="1:4" x14ac:dyDescent="0.25">
      <c r="A109" s="131"/>
      <c r="B109" s="41" t="s">
        <v>22</v>
      </c>
      <c r="C109" s="8">
        <v>400000</v>
      </c>
      <c r="D109" s="8"/>
    </row>
    <row r="110" spans="1:4" x14ac:dyDescent="0.25">
      <c r="A110" s="131"/>
      <c r="B110" s="41" t="s">
        <v>46</v>
      </c>
      <c r="C110" s="8">
        <f>C109*0.03</f>
        <v>12000</v>
      </c>
      <c r="D110" s="8"/>
    </row>
    <row r="111" spans="1:4" x14ac:dyDescent="0.25">
      <c r="A111" s="131"/>
      <c r="B111" s="43" t="s">
        <v>14</v>
      </c>
      <c r="C111" s="8"/>
      <c r="D111" s="8">
        <f>C109*87/100</f>
        <v>348000</v>
      </c>
    </row>
    <row r="112" spans="1:4" x14ac:dyDescent="0.25">
      <c r="A112" s="131"/>
      <c r="B112" s="43" t="s">
        <v>15</v>
      </c>
      <c r="C112" s="8"/>
      <c r="D112" s="8">
        <f>C109*13/100</f>
        <v>52000</v>
      </c>
    </row>
    <row r="113" spans="1:4" x14ac:dyDescent="0.25">
      <c r="A113" s="131"/>
      <c r="B113" s="43" t="s">
        <v>581</v>
      </c>
      <c r="C113" s="8"/>
      <c r="D113" s="8">
        <f>+C110</f>
        <v>12000</v>
      </c>
    </row>
    <row r="114" spans="1:4" x14ac:dyDescent="0.25">
      <c r="A114" s="132"/>
      <c r="B114" s="45" t="s">
        <v>655</v>
      </c>
      <c r="C114" s="8"/>
      <c r="D114" s="8"/>
    </row>
    <row r="115" spans="1:4" x14ac:dyDescent="0.25">
      <c r="A115" s="133">
        <v>44942</v>
      </c>
      <c r="B115" s="36" t="s">
        <v>728</v>
      </c>
      <c r="C115" s="8"/>
      <c r="D115" s="8"/>
    </row>
    <row r="116" spans="1:4" x14ac:dyDescent="0.25">
      <c r="A116" s="134"/>
      <c r="B116" s="41" t="s">
        <v>24</v>
      </c>
      <c r="C116" s="8">
        <f>113000*0.65</f>
        <v>73450</v>
      </c>
      <c r="D116" s="8"/>
    </row>
    <row r="117" spans="1:4" x14ac:dyDescent="0.25">
      <c r="A117" s="134"/>
      <c r="B117" s="41" t="s">
        <v>47</v>
      </c>
      <c r="C117" s="8">
        <f>113000*0.35</f>
        <v>39550</v>
      </c>
      <c r="D117" s="8"/>
    </row>
    <row r="118" spans="1:4" x14ac:dyDescent="0.25">
      <c r="A118" s="134"/>
      <c r="B118" s="41" t="s">
        <v>46</v>
      </c>
      <c r="C118" s="8">
        <f>113000*0.03</f>
        <v>3390</v>
      </c>
      <c r="D118" s="8"/>
    </row>
    <row r="119" spans="1:4" x14ac:dyDescent="0.25">
      <c r="A119" s="134"/>
      <c r="B119" s="43" t="s">
        <v>14</v>
      </c>
      <c r="C119" s="8"/>
      <c r="D119" s="8">
        <f>113000*0.87</f>
        <v>98310</v>
      </c>
    </row>
    <row r="120" spans="1:4" x14ac:dyDescent="0.25">
      <c r="A120" s="134"/>
      <c r="B120" s="43" t="s">
        <v>15</v>
      </c>
      <c r="C120" s="8"/>
      <c r="D120" s="8">
        <f>113000*0.13</f>
        <v>14690</v>
      </c>
    </row>
    <row r="121" spans="1:4" x14ac:dyDescent="0.25">
      <c r="A121" s="134"/>
      <c r="B121" s="43" t="s">
        <v>581</v>
      </c>
      <c r="C121" s="8"/>
      <c r="D121" s="8">
        <f>+C118</f>
        <v>3390</v>
      </c>
    </row>
    <row r="122" spans="1:4" x14ac:dyDescent="0.25">
      <c r="A122" s="135"/>
      <c r="B122" s="45" t="s">
        <v>656</v>
      </c>
      <c r="C122" s="8"/>
      <c r="D122" s="8"/>
    </row>
    <row r="123" spans="1:4" x14ac:dyDescent="0.25">
      <c r="A123" s="50">
        <v>44945</v>
      </c>
      <c r="B123" s="36" t="s">
        <v>729</v>
      </c>
      <c r="C123" s="8"/>
      <c r="D123" s="8"/>
    </row>
    <row r="124" spans="1:4" x14ac:dyDescent="0.25">
      <c r="A124" s="51"/>
      <c r="B124" s="41" t="s">
        <v>24</v>
      </c>
      <c r="C124" s="8">
        <f>131340*0.2</f>
        <v>26268</v>
      </c>
      <c r="D124" s="8"/>
    </row>
    <row r="125" spans="1:4" x14ac:dyDescent="0.25">
      <c r="A125" s="51"/>
      <c r="B125" s="41" t="s">
        <v>47</v>
      </c>
      <c r="C125" s="8">
        <f>131340*0.8</f>
        <v>105072</v>
      </c>
      <c r="D125" s="8"/>
    </row>
    <row r="126" spans="1:4" x14ac:dyDescent="0.25">
      <c r="A126" s="51"/>
      <c r="B126" s="41" t="s">
        <v>46</v>
      </c>
      <c r="C126" s="8">
        <f>131340*0.03</f>
        <v>3940.2</v>
      </c>
      <c r="D126" s="8"/>
    </row>
    <row r="127" spans="1:4" x14ac:dyDescent="0.25">
      <c r="A127" s="51"/>
      <c r="B127" s="43" t="s">
        <v>14</v>
      </c>
      <c r="C127" s="8"/>
      <c r="D127" s="8">
        <f>131340*0.87</f>
        <v>114265.8</v>
      </c>
    </row>
    <row r="128" spans="1:4" x14ac:dyDescent="0.25">
      <c r="A128" s="51"/>
      <c r="B128" s="43" t="s">
        <v>15</v>
      </c>
      <c r="C128" s="8"/>
      <c r="D128" s="8">
        <f>131340*0.13</f>
        <v>17074.2</v>
      </c>
    </row>
    <row r="129" spans="1:4" x14ac:dyDescent="0.25">
      <c r="A129" s="51"/>
      <c r="B129" s="43" t="s">
        <v>581</v>
      </c>
      <c r="C129" s="8"/>
      <c r="D129" s="8">
        <f>131340*0.03</f>
        <v>3940.2</v>
      </c>
    </row>
    <row r="130" spans="1:4" x14ac:dyDescent="0.25">
      <c r="A130" s="52"/>
      <c r="B130" s="45" t="s">
        <v>657</v>
      </c>
      <c r="C130" s="8"/>
      <c r="D130" s="8"/>
    </row>
    <row r="131" spans="1:4" x14ac:dyDescent="0.25">
      <c r="A131" s="130">
        <v>44950</v>
      </c>
      <c r="B131" s="36" t="s">
        <v>730</v>
      </c>
      <c r="C131" s="8"/>
      <c r="D131" s="8"/>
    </row>
    <row r="132" spans="1:4" x14ac:dyDescent="0.25">
      <c r="A132" s="131"/>
      <c r="B132" s="41" t="s">
        <v>22</v>
      </c>
      <c r="C132" s="8">
        <f>113000*0.35</f>
        <v>39550</v>
      </c>
      <c r="D132" s="8"/>
    </row>
    <row r="133" spans="1:4" x14ac:dyDescent="0.25">
      <c r="A133" s="131"/>
      <c r="B133" s="40" t="s">
        <v>47</v>
      </c>
      <c r="C133" s="8"/>
      <c r="D133" s="8">
        <f>+C132</f>
        <v>39550</v>
      </c>
    </row>
    <row r="134" spans="1:4" x14ac:dyDescent="0.25">
      <c r="A134" s="132"/>
      <c r="B134" s="45" t="s">
        <v>659</v>
      </c>
      <c r="C134" s="8"/>
      <c r="D134" s="8"/>
    </row>
    <row r="135" spans="1:4" x14ac:dyDescent="0.25">
      <c r="A135" s="130">
        <v>44951</v>
      </c>
      <c r="B135" s="36" t="s">
        <v>616</v>
      </c>
      <c r="C135" s="8"/>
      <c r="D135" s="8"/>
    </row>
    <row r="136" spans="1:4" x14ac:dyDescent="0.25">
      <c r="A136" s="131"/>
      <c r="B136" s="41" t="s">
        <v>660</v>
      </c>
      <c r="C136" s="8">
        <f>D138*0.87</f>
        <v>8700</v>
      </c>
      <c r="D136" s="8"/>
    </row>
    <row r="137" spans="1:4" x14ac:dyDescent="0.25">
      <c r="A137" s="131"/>
      <c r="B137" s="41" t="s">
        <v>25</v>
      </c>
      <c r="C137" s="8">
        <f>D138*0.13</f>
        <v>1300</v>
      </c>
      <c r="D137" s="8"/>
    </row>
    <row r="138" spans="1:4" x14ac:dyDescent="0.25">
      <c r="A138" s="131"/>
      <c r="B138" s="40" t="s">
        <v>22</v>
      </c>
      <c r="C138" s="8"/>
      <c r="D138" s="8">
        <v>10000</v>
      </c>
    </row>
    <row r="139" spans="1:4" x14ac:dyDescent="0.25">
      <c r="A139" s="131"/>
      <c r="B139" s="41" t="s">
        <v>662</v>
      </c>
      <c r="C139" s="8"/>
      <c r="D139" s="8"/>
    </row>
    <row r="140" spans="1:4" x14ac:dyDescent="0.25">
      <c r="A140" s="130">
        <v>44951</v>
      </c>
      <c r="B140" s="36" t="s">
        <v>731</v>
      </c>
      <c r="C140" s="8"/>
      <c r="D140" s="8"/>
    </row>
    <row r="141" spans="1:4" x14ac:dyDescent="0.25">
      <c r="A141" s="131"/>
      <c r="B141" s="41" t="s">
        <v>24</v>
      </c>
      <c r="C141" s="8">
        <f>115200*0.45</f>
        <v>51840</v>
      </c>
      <c r="D141" s="8"/>
    </row>
    <row r="142" spans="1:4" x14ac:dyDescent="0.25">
      <c r="A142" s="131"/>
      <c r="B142" s="41" t="s">
        <v>47</v>
      </c>
      <c r="C142" s="8">
        <f>115200*0.55</f>
        <v>63360.000000000007</v>
      </c>
      <c r="D142" s="8"/>
    </row>
    <row r="143" spans="1:4" x14ac:dyDescent="0.25">
      <c r="A143" s="131"/>
      <c r="B143" s="41" t="s">
        <v>46</v>
      </c>
      <c r="C143" s="8">
        <f>+D146</f>
        <v>3456</v>
      </c>
      <c r="D143" s="8"/>
    </row>
    <row r="144" spans="1:4" x14ac:dyDescent="0.25">
      <c r="A144" s="131"/>
      <c r="B144" s="43" t="s">
        <v>14</v>
      </c>
      <c r="C144" s="8"/>
      <c r="D144" s="8">
        <f>115200*0.87</f>
        <v>100224</v>
      </c>
    </row>
    <row r="145" spans="1:4" x14ac:dyDescent="0.25">
      <c r="A145" s="131"/>
      <c r="B145" s="43" t="s">
        <v>15</v>
      </c>
      <c r="C145" s="8"/>
      <c r="D145" s="8">
        <f>115200*0.13</f>
        <v>14976</v>
      </c>
    </row>
    <row r="146" spans="1:4" x14ac:dyDescent="0.25">
      <c r="A146" s="131"/>
      <c r="B146" s="43" t="s">
        <v>581</v>
      </c>
      <c r="C146" s="8"/>
      <c r="D146" s="8">
        <f>115200*0.03</f>
        <v>3456</v>
      </c>
    </row>
    <row r="147" spans="1:4" x14ac:dyDescent="0.25">
      <c r="A147" s="132"/>
      <c r="B147" s="45" t="s">
        <v>661</v>
      </c>
      <c r="C147" s="8"/>
      <c r="D147" s="8"/>
    </row>
    <row r="148" spans="1:4" x14ac:dyDescent="0.25">
      <c r="A148" s="130">
        <v>44952</v>
      </c>
      <c r="B148" s="36" t="s">
        <v>732</v>
      </c>
      <c r="C148" s="8"/>
      <c r="D148" s="8"/>
    </row>
    <row r="149" spans="1:4" x14ac:dyDescent="0.25">
      <c r="A149" s="131"/>
      <c r="B149" s="8" t="s">
        <v>24</v>
      </c>
      <c r="C149" s="8">
        <v>121000</v>
      </c>
      <c r="D149" s="8"/>
    </row>
    <row r="150" spans="1:4" x14ac:dyDescent="0.25">
      <c r="A150" s="131"/>
      <c r="B150" s="41" t="s">
        <v>46</v>
      </c>
      <c r="C150" s="8">
        <f>D154</f>
        <v>3630</v>
      </c>
      <c r="D150" s="8"/>
    </row>
    <row r="151" spans="1:4" x14ac:dyDescent="0.25">
      <c r="A151" s="131"/>
      <c r="B151" s="8" t="s">
        <v>622</v>
      </c>
      <c r="C151" s="8" t="s">
        <v>622</v>
      </c>
      <c r="D151" s="8"/>
    </row>
    <row r="152" spans="1:4" x14ac:dyDescent="0.25">
      <c r="A152" s="131"/>
      <c r="B152" s="43" t="s">
        <v>14</v>
      </c>
      <c r="C152" s="8"/>
      <c r="D152" s="8">
        <f>121000*0.87</f>
        <v>105270</v>
      </c>
    </row>
    <row r="153" spans="1:4" x14ac:dyDescent="0.25">
      <c r="A153" s="131"/>
      <c r="B153" s="54" t="s">
        <v>15</v>
      </c>
      <c r="C153" s="8"/>
      <c r="D153" s="8">
        <f>121000*13/100</f>
        <v>15730</v>
      </c>
    </row>
    <row r="154" spans="1:4" x14ac:dyDescent="0.25">
      <c r="A154" s="131"/>
      <c r="B154" s="43" t="s">
        <v>581</v>
      </c>
      <c r="C154" s="8"/>
      <c r="D154" s="8">
        <f>121000*0.03</f>
        <v>3630</v>
      </c>
    </row>
    <row r="155" spans="1:4" x14ac:dyDescent="0.25">
      <c r="A155" s="132"/>
      <c r="B155" s="45" t="s">
        <v>666</v>
      </c>
      <c r="C155" s="8"/>
      <c r="D155" s="8"/>
    </row>
    <row r="156" spans="1:4" x14ac:dyDescent="0.25">
      <c r="A156" s="137" t="s">
        <v>667</v>
      </c>
      <c r="B156" s="36" t="s">
        <v>733</v>
      </c>
      <c r="C156" s="8"/>
      <c r="D156" s="8"/>
    </row>
    <row r="157" spans="1:4" x14ac:dyDescent="0.25">
      <c r="A157" s="138"/>
      <c r="B157" s="8" t="s">
        <v>22</v>
      </c>
      <c r="C157" s="8">
        <v>140000</v>
      </c>
      <c r="D157" s="8"/>
    </row>
    <row r="158" spans="1:4" x14ac:dyDescent="0.25">
      <c r="A158" s="138"/>
      <c r="B158" s="54" t="s">
        <v>24</v>
      </c>
      <c r="C158" s="8"/>
      <c r="D158" s="8">
        <v>140000</v>
      </c>
    </row>
    <row r="159" spans="1:4" x14ac:dyDescent="0.25">
      <c r="A159" s="139"/>
      <c r="B159" s="45" t="s">
        <v>663</v>
      </c>
      <c r="C159" s="8"/>
      <c r="D159" s="8"/>
    </row>
    <row r="160" spans="1:4" x14ac:dyDescent="0.25">
      <c r="A160" s="137" t="s">
        <v>667</v>
      </c>
      <c r="B160" s="36" t="s">
        <v>638</v>
      </c>
      <c r="C160" s="8"/>
      <c r="D160" s="8"/>
    </row>
    <row r="161" spans="1:4" x14ac:dyDescent="0.25">
      <c r="A161" s="138"/>
      <c r="B161" s="41" t="s">
        <v>668</v>
      </c>
      <c r="C161" s="8">
        <f>3256*0.87</f>
        <v>2832.72</v>
      </c>
      <c r="D161" s="8"/>
    </row>
    <row r="162" spans="1:4" x14ac:dyDescent="0.25">
      <c r="A162" s="138"/>
      <c r="B162" s="55" t="s">
        <v>25</v>
      </c>
      <c r="C162" s="8">
        <f>3256*0.13</f>
        <v>423.28000000000003</v>
      </c>
      <c r="D162" s="8"/>
    </row>
    <row r="163" spans="1:4" x14ac:dyDescent="0.25">
      <c r="A163" s="138"/>
      <c r="B163" s="40" t="s">
        <v>24</v>
      </c>
      <c r="C163" s="8"/>
      <c r="D163" s="8">
        <v>3256</v>
      </c>
    </row>
    <row r="164" spans="1:4" x14ac:dyDescent="0.25">
      <c r="A164" s="139"/>
      <c r="B164" s="44" t="s">
        <v>669</v>
      </c>
      <c r="C164" s="8"/>
      <c r="D164" s="8"/>
    </row>
    <row r="165" spans="1:4" x14ac:dyDescent="0.25">
      <c r="A165" s="137" t="s">
        <v>670</v>
      </c>
      <c r="B165" s="36" t="s">
        <v>617</v>
      </c>
      <c r="C165" s="8"/>
      <c r="D165" s="8"/>
    </row>
    <row r="166" spans="1:4" x14ac:dyDescent="0.25">
      <c r="A166" s="138"/>
      <c r="B166" s="41" t="s">
        <v>664</v>
      </c>
      <c r="C166" s="8">
        <v>270725</v>
      </c>
      <c r="D166" s="8"/>
    </row>
    <row r="167" spans="1:4" x14ac:dyDescent="0.25">
      <c r="A167" s="138"/>
      <c r="B167" s="40" t="s">
        <v>22</v>
      </c>
      <c r="C167" s="8"/>
      <c r="D167" s="8">
        <f>C166-D168</f>
        <v>236315.85250000001</v>
      </c>
    </row>
    <row r="168" spans="1:4" x14ac:dyDescent="0.25">
      <c r="A168" s="138"/>
      <c r="B168" s="40" t="s">
        <v>603</v>
      </c>
      <c r="C168" s="8"/>
      <c r="D168" s="8">
        <f>C166*12.71/100</f>
        <v>34409.147499999999</v>
      </c>
    </row>
    <row r="169" spans="1:4" x14ac:dyDescent="0.25">
      <c r="A169" s="139"/>
      <c r="B169" s="44" t="s">
        <v>665</v>
      </c>
      <c r="C169" s="8"/>
      <c r="D169" s="8"/>
    </row>
    <row r="170" spans="1:4" x14ac:dyDescent="0.25">
      <c r="A170" s="137" t="s">
        <v>670</v>
      </c>
      <c r="B170" s="36" t="s">
        <v>736</v>
      </c>
      <c r="C170" s="8"/>
      <c r="D170" s="8"/>
    </row>
    <row r="171" spans="1:4" x14ac:dyDescent="0.25">
      <c r="A171" s="138"/>
      <c r="B171" s="41" t="s">
        <v>642</v>
      </c>
      <c r="C171" s="8">
        <f>C166*0.0671</f>
        <v>18165.647500000003</v>
      </c>
      <c r="D171" s="8"/>
    </row>
    <row r="172" spans="1:4" x14ac:dyDescent="0.25">
      <c r="A172" s="138"/>
      <c r="B172" s="41" t="s">
        <v>643</v>
      </c>
      <c r="C172" s="8">
        <f>C166*0.1</f>
        <v>27072.5</v>
      </c>
      <c r="D172" s="8"/>
    </row>
    <row r="173" spans="1:4" x14ac:dyDescent="0.25">
      <c r="A173" s="138"/>
      <c r="B173" s="41" t="s">
        <v>644</v>
      </c>
      <c r="C173" s="8">
        <f>C166/12</f>
        <v>22560.416666666668</v>
      </c>
      <c r="D173" s="8"/>
    </row>
    <row r="174" spans="1:4" x14ac:dyDescent="0.25">
      <c r="A174" s="138"/>
      <c r="B174" s="41" t="s">
        <v>645</v>
      </c>
      <c r="C174" s="8">
        <f>C173</f>
        <v>22560.416666666668</v>
      </c>
      <c r="D174" s="8"/>
    </row>
    <row r="175" spans="1:4" x14ac:dyDescent="0.25">
      <c r="A175" s="138"/>
      <c r="B175" s="41" t="s">
        <v>646</v>
      </c>
      <c r="C175" s="8">
        <f>C173</f>
        <v>22560.416666666668</v>
      </c>
      <c r="D175" s="8"/>
    </row>
    <row r="176" spans="1:4" x14ac:dyDescent="0.25">
      <c r="A176" s="138"/>
      <c r="B176" s="40" t="s">
        <v>648</v>
      </c>
      <c r="C176" s="8"/>
      <c r="D176" s="8">
        <f>+C171</f>
        <v>18165.647500000003</v>
      </c>
    </row>
    <row r="177" spans="1:4" x14ac:dyDescent="0.25">
      <c r="A177" s="138"/>
      <c r="B177" s="40" t="s">
        <v>649</v>
      </c>
      <c r="C177" s="8"/>
      <c r="D177" s="8">
        <f>+C172</f>
        <v>27072.5</v>
      </c>
    </row>
    <row r="178" spans="1:4" x14ac:dyDescent="0.25">
      <c r="A178" s="138"/>
      <c r="B178" s="40" t="s">
        <v>650</v>
      </c>
      <c r="C178" s="8"/>
      <c r="D178" s="8">
        <f>+C173</f>
        <v>22560.416666666668</v>
      </c>
    </row>
    <row r="179" spans="1:4" x14ac:dyDescent="0.25">
      <c r="A179" s="138"/>
      <c r="B179" s="40" t="s">
        <v>651</v>
      </c>
      <c r="C179" s="8"/>
      <c r="D179" s="8">
        <f t="shared" ref="D179:D180" si="0">+C174</f>
        <v>22560.416666666668</v>
      </c>
    </row>
    <row r="180" spans="1:4" x14ac:dyDescent="0.25">
      <c r="A180" s="138"/>
      <c r="B180" s="40" t="s">
        <v>23</v>
      </c>
      <c r="C180" s="8"/>
      <c r="D180" s="8">
        <f t="shared" si="0"/>
        <v>22560.416666666668</v>
      </c>
    </row>
    <row r="181" spans="1:4" x14ac:dyDescent="0.25">
      <c r="A181" s="139"/>
      <c r="B181" s="41" t="s">
        <v>715</v>
      </c>
      <c r="C181" s="8"/>
      <c r="D181" s="8"/>
    </row>
    <row r="182" spans="1:4" x14ac:dyDescent="0.25">
      <c r="A182" s="130">
        <v>44957</v>
      </c>
      <c r="B182" s="36" t="s">
        <v>737</v>
      </c>
      <c r="C182" s="8"/>
      <c r="D182" s="8"/>
    </row>
    <row r="183" spans="1:4" x14ac:dyDescent="0.25">
      <c r="A183" s="138"/>
      <c r="B183" s="8" t="s">
        <v>15</v>
      </c>
      <c r="C183" s="203">
        <v>133840.20000000001</v>
      </c>
      <c r="D183" s="8"/>
    </row>
    <row r="184" spans="1:4" x14ac:dyDescent="0.25">
      <c r="A184" s="138"/>
      <c r="B184" s="202" t="s">
        <v>25</v>
      </c>
      <c r="C184" s="8"/>
      <c r="D184" s="203">
        <v>108641.78</v>
      </c>
    </row>
    <row r="185" spans="1:4" x14ac:dyDescent="0.25">
      <c r="A185" s="138"/>
      <c r="B185" s="202" t="s">
        <v>22</v>
      </c>
      <c r="C185" s="8"/>
      <c r="D185" s="203">
        <f>C183-D184</f>
        <v>25198.420000000013</v>
      </c>
    </row>
    <row r="186" spans="1:4" x14ac:dyDescent="0.25">
      <c r="A186" s="139"/>
      <c r="B186" s="204" t="s">
        <v>738</v>
      </c>
      <c r="C186" s="8"/>
      <c r="D186" s="8"/>
    </row>
  </sheetData>
  <mergeCells count="28">
    <mergeCell ref="A182:A186"/>
    <mergeCell ref="A160:A164"/>
    <mergeCell ref="A165:A169"/>
    <mergeCell ref="A170:A181"/>
    <mergeCell ref="A135:A139"/>
    <mergeCell ref="A140:A147"/>
    <mergeCell ref="A148:A155"/>
    <mergeCell ref="A156:A159"/>
    <mergeCell ref="A1:D1"/>
    <mergeCell ref="A4:A14"/>
    <mergeCell ref="A15:A19"/>
    <mergeCell ref="A20:A25"/>
    <mergeCell ref="A26:A31"/>
    <mergeCell ref="A32:A39"/>
    <mergeCell ref="A40:A44"/>
    <mergeCell ref="A45:A50"/>
    <mergeCell ref="A51:A58"/>
    <mergeCell ref="A59:A66"/>
    <mergeCell ref="A67:A71"/>
    <mergeCell ref="A72:A76"/>
    <mergeCell ref="A77:A81"/>
    <mergeCell ref="A82:A85"/>
    <mergeCell ref="A86:A90"/>
    <mergeCell ref="A91:A95"/>
    <mergeCell ref="A96:A107"/>
    <mergeCell ref="A108:A114"/>
    <mergeCell ref="A115:A122"/>
    <mergeCell ref="A131:A13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9864-A459-4F92-A253-40537100D1F4}">
  <dimension ref="A1:G54"/>
  <sheetViews>
    <sheetView topLeftCell="A4" workbookViewId="0">
      <selection activeCell="G28" sqref="G28:G29"/>
    </sheetView>
  </sheetViews>
  <sheetFormatPr baseColWidth="10" defaultRowHeight="15" x14ac:dyDescent="0.25"/>
  <cols>
    <col min="1" max="1" width="43.7109375" customWidth="1"/>
    <col min="2" max="2" width="22.5703125" customWidth="1"/>
    <col min="3" max="3" width="23.140625" customWidth="1"/>
    <col min="5" max="5" width="48" customWidth="1"/>
  </cols>
  <sheetData>
    <row r="1" spans="1:7" x14ac:dyDescent="0.25">
      <c r="A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" t="s">
        <v>52</v>
      </c>
    </row>
    <row r="2" spans="1:7" x14ac:dyDescent="0.25">
      <c r="A2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2" t="s">
        <v>22</v>
      </c>
      <c r="F2">
        <f>SUMIF(A1:A54,E2,B1:B54)</f>
        <v>0</v>
      </c>
      <c r="G2">
        <f>SUMIF(A1:A54,E2,C1:C54)</f>
        <v>0</v>
      </c>
    </row>
    <row r="3" spans="1:7" x14ac:dyDescent="0.25">
      <c r="A3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3" t="s">
        <v>20</v>
      </c>
      <c r="F3">
        <f t="shared" ref="F3:F18" si="0">SUMIF(A2:A55,E3,B2:B55)</f>
        <v>0</v>
      </c>
      <c r="G3">
        <f t="shared" ref="G3:G18" si="1">SUMIF(A2:A55,E3,C2:C55)</f>
        <v>0</v>
      </c>
    </row>
    <row r="4" spans="1:7" x14ac:dyDescent="0.25">
      <c r="A4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4" t="s">
        <v>5</v>
      </c>
      <c r="F4">
        <f t="shared" si="0"/>
        <v>0</v>
      </c>
      <c r="G4">
        <f t="shared" si="1"/>
        <v>0</v>
      </c>
    </row>
    <row r="5" spans="1:7" x14ac:dyDescent="0.25">
      <c r="A5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5" t="s">
        <v>16</v>
      </c>
      <c r="F5">
        <f t="shared" si="0"/>
        <v>0</v>
      </c>
      <c r="G5">
        <f t="shared" si="1"/>
        <v>0</v>
      </c>
    </row>
    <row r="6" spans="1:7" x14ac:dyDescent="0.25">
      <c r="A6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6" t="s">
        <v>579</v>
      </c>
      <c r="F6">
        <f t="shared" si="0"/>
        <v>0</v>
      </c>
      <c r="G6">
        <f t="shared" si="1"/>
        <v>0</v>
      </c>
    </row>
    <row r="7" spans="1:7" x14ac:dyDescent="0.25">
      <c r="A7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7" t="s">
        <v>45</v>
      </c>
      <c r="F7">
        <f t="shared" si="0"/>
        <v>0</v>
      </c>
      <c r="G7">
        <f t="shared" si="1"/>
        <v>0</v>
      </c>
    </row>
    <row r="8" spans="1:7" x14ac:dyDescent="0.25">
      <c r="A8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8" t="s">
        <v>580</v>
      </c>
      <c r="F8">
        <f t="shared" si="0"/>
        <v>0</v>
      </c>
      <c r="G8">
        <f t="shared" si="1"/>
        <v>0</v>
      </c>
    </row>
    <row r="9" spans="1:7" x14ac:dyDescent="0.25">
      <c r="A9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9" t="s">
        <v>3</v>
      </c>
      <c r="F9">
        <f t="shared" si="0"/>
        <v>0</v>
      </c>
      <c r="G9">
        <f t="shared" si="1"/>
        <v>0</v>
      </c>
    </row>
    <row r="10" spans="1:7" x14ac:dyDescent="0.25">
      <c r="A10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0" t="s">
        <v>24</v>
      </c>
      <c r="F10">
        <f t="shared" si="0"/>
        <v>0</v>
      </c>
      <c r="G10">
        <f t="shared" si="1"/>
        <v>0</v>
      </c>
    </row>
    <row r="11" spans="1:7" x14ac:dyDescent="0.25">
      <c r="A11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1" t="s">
        <v>46</v>
      </c>
      <c r="F11">
        <f t="shared" si="0"/>
        <v>0</v>
      </c>
      <c r="G11">
        <f t="shared" si="1"/>
        <v>0</v>
      </c>
    </row>
    <row r="12" spans="1:7" x14ac:dyDescent="0.25">
      <c r="A12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2" t="s">
        <v>14</v>
      </c>
      <c r="F12">
        <f t="shared" si="0"/>
        <v>0</v>
      </c>
      <c r="G12">
        <f t="shared" si="1"/>
        <v>0</v>
      </c>
    </row>
    <row r="13" spans="1:7" x14ac:dyDescent="0.25">
      <c r="A13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3" t="s">
        <v>15</v>
      </c>
      <c r="F13">
        <f t="shared" si="0"/>
        <v>0</v>
      </c>
      <c r="G13">
        <f t="shared" si="1"/>
        <v>0</v>
      </c>
    </row>
    <row r="14" spans="1:7" x14ac:dyDescent="0.25">
      <c r="A14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4" t="s">
        <v>581</v>
      </c>
      <c r="F14">
        <f t="shared" si="0"/>
        <v>0</v>
      </c>
      <c r="G14">
        <f t="shared" si="1"/>
        <v>0</v>
      </c>
    </row>
    <row r="15" spans="1:7" x14ac:dyDescent="0.25">
      <c r="A15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5" t="s">
        <v>25</v>
      </c>
      <c r="F15">
        <f t="shared" si="0"/>
        <v>0</v>
      </c>
      <c r="G15">
        <f t="shared" si="1"/>
        <v>0</v>
      </c>
    </row>
    <row r="16" spans="1:7" x14ac:dyDescent="0.25">
      <c r="A16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6" t="s">
        <v>47</v>
      </c>
      <c r="F16">
        <f t="shared" si="0"/>
        <v>0</v>
      </c>
      <c r="G16">
        <f t="shared" si="1"/>
        <v>0</v>
      </c>
    </row>
    <row r="17" spans="1:7" x14ac:dyDescent="0.25">
      <c r="A17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7" t="s">
        <v>582</v>
      </c>
      <c r="F17">
        <f t="shared" si="0"/>
        <v>0</v>
      </c>
      <c r="G17">
        <f t="shared" si="1"/>
        <v>0</v>
      </c>
    </row>
    <row r="18" spans="1:7" x14ac:dyDescent="0.25">
      <c r="A18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8" t="s">
        <v>583</v>
      </c>
      <c r="F18">
        <f t="shared" si="0"/>
        <v>0</v>
      </c>
      <c r="G18">
        <f t="shared" si="1"/>
        <v>0</v>
      </c>
    </row>
    <row r="19" spans="1:7" x14ac:dyDescent="0.25">
      <c r="A19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0" spans="1:7" x14ac:dyDescent="0.25">
      <c r="A20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1" spans="1:7" x14ac:dyDescent="0.25">
      <c r="A21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2" spans="1:7" x14ac:dyDescent="0.25">
      <c r="A22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3" spans="1:7" x14ac:dyDescent="0.25">
      <c r="A23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4" spans="1:7" x14ac:dyDescent="0.25">
      <c r="A24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5" spans="1:7" x14ac:dyDescent="0.25">
      <c r="A25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6" spans="1:7" x14ac:dyDescent="0.25">
      <c r="A26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7" spans="1:7" x14ac:dyDescent="0.25">
      <c r="A27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8" spans="1:7" x14ac:dyDescent="0.25">
      <c r="A28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9" spans="1:7" x14ac:dyDescent="0.25">
      <c r="A29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0" spans="1:7" x14ac:dyDescent="0.25">
      <c r="A30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1" spans="1:7" x14ac:dyDescent="0.25">
      <c r="A31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2" spans="1:7" x14ac:dyDescent="0.25">
      <c r="A32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3" spans="1:3" x14ac:dyDescent="0.25">
      <c r="A33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4" spans="1:3" x14ac:dyDescent="0.25">
      <c r="A34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5" spans="1:3" x14ac:dyDescent="0.25">
      <c r="A35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6" spans="1:3" x14ac:dyDescent="0.25">
      <c r="A36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7" spans="1:3" x14ac:dyDescent="0.25">
      <c r="A37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8" spans="1:3" x14ac:dyDescent="0.25">
      <c r="A38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9" spans="1:3" x14ac:dyDescent="0.25">
      <c r="A39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0" spans="1:3" x14ac:dyDescent="0.25">
      <c r="A40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1" spans="1:3" x14ac:dyDescent="0.25">
      <c r="A41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2" spans="1:3" x14ac:dyDescent="0.25">
      <c r="A42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3" spans="1:3" x14ac:dyDescent="0.25">
      <c r="A43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4" spans="1:3" x14ac:dyDescent="0.25">
      <c r="A44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5" spans="1:3" x14ac:dyDescent="0.25">
      <c r="A45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6" spans="1:3" x14ac:dyDescent="0.25">
      <c r="A46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7" spans="1:3" x14ac:dyDescent="0.25">
      <c r="A47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8" spans="1:3" x14ac:dyDescent="0.25">
      <c r="A48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9" spans="1:3" x14ac:dyDescent="0.25">
      <c r="A49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50" spans="1:3" x14ac:dyDescent="0.25">
      <c r="A50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5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5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51" spans="1:3" x14ac:dyDescent="0.25">
      <c r="A51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5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5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52" spans="1:3" x14ac:dyDescent="0.25">
      <c r="A52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5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5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53" spans="1:3" x14ac:dyDescent="0.25">
      <c r="B5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5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54" spans="1:3" x14ac:dyDescent="0.25">
      <c r="B5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5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9684-D1A6-481D-A604-D5FD8A9647C2}">
  <sheetPr>
    <tabColor theme="8" tint="-0.249977111117893"/>
  </sheetPr>
  <dimension ref="A4:U97"/>
  <sheetViews>
    <sheetView topLeftCell="A76" zoomScaleNormal="100" workbookViewId="0">
      <selection activeCell="B14" sqref="B14"/>
    </sheetView>
  </sheetViews>
  <sheetFormatPr baseColWidth="10" defaultColWidth="11.42578125" defaultRowHeight="15" x14ac:dyDescent="0.25"/>
  <cols>
    <col min="1" max="1" width="14.85546875" style="4" customWidth="1"/>
    <col min="2" max="2" width="14.7109375" style="4" customWidth="1"/>
    <col min="3" max="3" width="5.140625" style="4" customWidth="1"/>
    <col min="4" max="4" width="14.28515625" style="4" customWidth="1"/>
    <col min="5" max="5" width="14.42578125" style="4" customWidth="1"/>
    <col min="6" max="6" width="5.140625" style="4" customWidth="1"/>
    <col min="7" max="7" width="13" style="4" customWidth="1"/>
    <col min="8" max="8" width="11.7109375" style="4" customWidth="1"/>
    <col min="9" max="9" width="5.140625" style="4" customWidth="1"/>
    <col min="10" max="11" width="11.42578125" style="4"/>
    <col min="12" max="12" width="5.140625" style="4" customWidth="1"/>
    <col min="13" max="13" width="16.85546875" style="4" customWidth="1"/>
    <col min="14" max="14" width="11.5703125" style="4" customWidth="1"/>
  </cols>
  <sheetData>
    <row r="4" spans="1:21" x14ac:dyDescent="0.25">
      <c r="A4" s="140" t="str">
        <f>+'Libro Diario 1'!B5</f>
        <v>BANCO GANADERO M/N</v>
      </c>
      <c r="B4" s="140"/>
      <c r="D4" s="140" t="s">
        <v>24</v>
      </c>
      <c r="E4" s="140"/>
      <c r="G4" s="142" t="str">
        <f>+'Libro Diario 1'!$B$7</f>
        <v>INVENTARIO DE MERCADERIAS</v>
      </c>
      <c r="H4" s="142"/>
      <c r="J4" s="143" t="str">
        <f>+'Libro Diario 1'!$B$8</f>
        <v>ALQUILERES PAGADOS POR ANTICIPADO</v>
      </c>
      <c r="K4" s="143"/>
      <c r="M4" s="140" t="str">
        <f>+'Libro Diario 1'!$B$9</f>
        <v>MUEBLES Y ENSERES</v>
      </c>
      <c r="N4" s="140"/>
      <c r="O4" s="144"/>
      <c r="P4" s="144"/>
      <c r="Q4" s="4"/>
      <c r="R4" s="144"/>
      <c r="S4" s="144"/>
      <c r="T4" s="4"/>
      <c r="U4" s="4">
        <f>'Lista de Libros'!S4</f>
        <v>0</v>
      </c>
    </row>
    <row r="5" spans="1:21" x14ac:dyDescent="0.25">
      <c r="A5" s="48">
        <f>+'Libro Diario 1'!C5</f>
        <v>255000</v>
      </c>
      <c r="B5" s="4">
        <f>+'Libro Diario 1'!D23</f>
        <v>32500</v>
      </c>
      <c r="D5" s="48">
        <v>100000</v>
      </c>
      <c r="E5" s="4">
        <v>3500</v>
      </c>
      <c r="G5" s="48">
        <f>+'Libro Diario 1'!$C$7</f>
        <v>84000</v>
      </c>
      <c r="J5" s="48">
        <f>+'Libro Diario 1'!$C$8</f>
        <v>55000</v>
      </c>
      <c r="M5" s="48">
        <f>+'Libro Diario 1'!$C$9</f>
        <v>12000</v>
      </c>
    </row>
    <row r="6" spans="1:21" x14ac:dyDescent="0.25">
      <c r="A6" s="49">
        <f>+'Libro Diario 1'!C52</f>
        <v>25830</v>
      </c>
      <c r="B6" s="4">
        <f>+'Libro Diario 1'!D29</f>
        <v>90000</v>
      </c>
      <c r="D6" s="49">
        <f>+'Libro Diario 1'!C33</f>
        <v>33000</v>
      </c>
      <c r="E6" s="4">
        <f>+'Libro Diario 1'!D43</f>
        <v>950</v>
      </c>
      <c r="G6" s="49">
        <f>+'Libro Diario 1'!$C$21</f>
        <v>56550</v>
      </c>
      <c r="J6" s="49"/>
      <c r="M6" s="49">
        <v>2610</v>
      </c>
    </row>
    <row r="7" spans="1:21" x14ac:dyDescent="0.25">
      <c r="A7" s="49">
        <f>+'Libro Diario 1'!C83</f>
        <v>9100</v>
      </c>
      <c r="B7" s="4">
        <f>+'Libro Diario 1'!D48</f>
        <v>76000</v>
      </c>
      <c r="D7" s="49">
        <f>+'Libro Diario 1'!C60</f>
        <v>23400</v>
      </c>
      <c r="E7" s="4">
        <f>+'Libro Diario 1'!$D$49</f>
        <v>19000</v>
      </c>
      <c r="G7" s="49">
        <f>+'Libro Diario 1'!$C$27</f>
        <v>174000</v>
      </c>
      <c r="J7" s="49"/>
      <c r="M7" s="49"/>
    </row>
    <row r="8" spans="1:21" x14ac:dyDescent="0.25">
      <c r="A8" s="49">
        <v>400000</v>
      </c>
      <c r="B8" s="4">
        <f>+'Libro Diario 1'!D89</f>
        <v>5000</v>
      </c>
      <c r="D8" s="49">
        <f>+'Libro Diario 1'!C116</f>
        <v>73450</v>
      </c>
      <c r="E8" s="4">
        <f>+'Libro Diario 1'!$D$75</f>
        <v>3000</v>
      </c>
      <c r="G8" s="49">
        <f>+'Libro Diario 1'!$C$46</f>
        <v>82650</v>
      </c>
      <c r="J8" s="49"/>
      <c r="M8" s="49"/>
    </row>
    <row r="9" spans="1:21" x14ac:dyDescent="0.25">
      <c r="A9" s="49">
        <f>+'Libro Diario 1'!C132</f>
        <v>39550</v>
      </c>
      <c r="B9" s="4">
        <f>+'Libro Diario 1'!D93</f>
        <v>249256.595</v>
      </c>
      <c r="D9" s="49">
        <f>+'Libro Diario 1'!C124</f>
        <v>26268</v>
      </c>
      <c r="E9" s="4">
        <f>+'Libro Diario 1'!$D$80</f>
        <v>250000</v>
      </c>
      <c r="G9" s="49">
        <f>+'Libro Diario 1'!$C$68</f>
        <v>174000</v>
      </c>
      <c r="J9" s="49"/>
      <c r="M9" s="49"/>
    </row>
    <row r="10" spans="1:21" x14ac:dyDescent="0.25">
      <c r="A10" s="49">
        <f>+'Libro Diario 1'!C157</f>
        <v>140000</v>
      </c>
      <c r="B10" s="4">
        <f>+'Libro Diario 1'!D138</f>
        <v>10000</v>
      </c>
      <c r="D10" s="49">
        <f>+'Libro Diario 1'!C141</f>
        <v>51840</v>
      </c>
      <c r="E10" s="4">
        <f>+'Libro Diario 1'!$D$158</f>
        <v>140000</v>
      </c>
      <c r="G10" s="49">
        <f>+'Libro Diario 1'!$C$78</f>
        <v>217500</v>
      </c>
      <c r="J10" s="49"/>
      <c r="M10" s="49"/>
    </row>
    <row r="11" spans="1:21" x14ac:dyDescent="0.25">
      <c r="A11" s="49"/>
      <c r="B11" s="4">
        <f>+'Libro Diario 1'!$D$167</f>
        <v>236315.85250000001</v>
      </c>
      <c r="D11" s="49">
        <f>+'Libro Diario 1'!C149</f>
        <v>121000</v>
      </c>
      <c r="E11" s="4">
        <f>+'Libro Diario 1'!$D$163</f>
        <v>3256</v>
      </c>
      <c r="G11" s="49"/>
      <c r="J11" s="49"/>
      <c r="M11" s="49"/>
    </row>
    <row r="12" spans="1:21" x14ac:dyDescent="0.25">
      <c r="A12" s="49"/>
      <c r="B12" s="4">
        <f>'Libro Diario 1'!D185</f>
        <v>25198.420000000013</v>
      </c>
      <c r="D12" s="49"/>
      <c r="G12" s="49"/>
      <c r="J12" s="49"/>
      <c r="M12" s="49"/>
    </row>
    <row r="13" spans="1:21" x14ac:dyDescent="0.25">
      <c r="A13" s="121">
        <f>SUM(A5:A12)</f>
        <v>869480</v>
      </c>
      <c r="B13" s="121">
        <f>SUM(B5:B12)</f>
        <v>724270.86750000005</v>
      </c>
      <c r="D13" s="121">
        <f>SUM(D5:D12)</f>
        <v>428958</v>
      </c>
      <c r="E13" s="121">
        <f>SUM(E5:E12)</f>
        <v>419706</v>
      </c>
      <c r="G13" s="121">
        <f>SUM(G5:G12)</f>
        <v>788700</v>
      </c>
      <c r="H13" s="121">
        <f>SUM(H5:H12)</f>
        <v>0</v>
      </c>
      <c r="J13" s="121">
        <f>SUM(J5:J12)</f>
        <v>55000</v>
      </c>
      <c r="K13" s="121">
        <f>SUM(K5:K12)</f>
        <v>0</v>
      </c>
      <c r="M13" s="121">
        <f>SUM(M5:M12)</f>
        <v>14610</v>
      </c>
      <c r="N13" s="121">
        <f>SUM(N5:N12)</f>
        <v>0</v>
      </c>
    </row>
    <row r="14" spans="1:21" x14ac:dyDescent="0.25">
      <c r="A14" s="119">
        <f>A13-B13</f>
        <v>145209.13249999995</v>
      </c>
      <c r="B14" s="124" t="s">
        <v>622</v>
      </c>
      <c r="D14" s="123">
        <f>D13-E13</f>
        <v>9252</v>
      </c>
      <c r="E14" s="124" t="s">
        <v>622</v>
      </c>
      <c r="G14" s="123">
        <f>+G13</f>
        <v>788700</v>
      </c>
      <c r="J14" s="123">
        <f>+J13</f>
        <v>55000</v>
      </c>
      <c r="M14" s="123">
        <f>+M13</f>
        <v>14610</v>
      </c>
    </row>
    <row r="15" spans="1:21" s="53" customFormat="1" x14ac:dyDescent="0.25">
      <c r="A15" s="124"/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</row>
    <row r="17" spans="1:14" x14ac:dyDescent="0.25">
      <c r="A17" s="140" t="str">
        <f>+'Libro Diario 1'!$B$10</f>
        <v>EQUIPOS DE COMPUTACION</v>
      </c>
      <c r="B17" s="140"/>
      <c r="D17" s="140" t="str">
        <f>+'Libro Diario 1'!$B$11</f>
        <v>DOCUMENTOS POR PAGAR</v>
      </c>
      <c r="E17" s="140"/>
      <c r="G17" s="140" t="str">
        <f>+'Libro Diario 1'!$B$12</f>
        <v>DEUDAS POR PAGAR</v>
      </c>
      <c r="H17" s="140"/>
      <c r="J17" s="140" t="str">
        <f>+'Libro Diario 1'!$B$13</f>
        <v>CAPITAL SOCIAL</v>
      </c>
      <c r="K17" s="140"/>
      <c r="M17" s="143" t="str">
        <f>+'Libro Diario 1'!$B$16</f>
        <v>GASTOS LEGALES, NOTARIALES Y JUDICIALES</v>
      </c>
      <c r="N17" s="143"/>
    </row>
    <row r="18" spans="1:14" x14ac:dyDescent="0.25">
      <c r="A18" s="48">
        <f>+'Libro Diario 1'!$C$10</f>
        <v>45000</v>
      </c>
      <c r="D18" s="48"/>
      <c r="E18" s="4">
        <f>+'Libro Diario 1'!$D$11</f>
        <v>35000</v>
      </c>
      <c r="G18" s="48"/>
      <c r="H18" s="4">
        <f>+'Libro Diario 1'!$D$12</f>
        <v>350000</v>
      </c>
      <c r="J18" s="48"/>
      <c r="K18" s="4">
        <f>+'Libro Diario 1'!$D$13</f>
        <v>166000</v>
      </c>
      <c r="M18" s="48">
        <f>+'Libro Diario 1'!$C$16</f>
        <v>3045</v>
      </c>
    </row>
    <row r="19" spans="1:14" x14ac:dyDescent="0.25">
      <c r="A19" s="49"/>
      <c r="D19" s="49"/>
      <c r="E19" s="4">
        <f>'Libro Diario 1'!D24</f>
        <v>32500</v>
      </c>
      <c r="G19" s="49"/>
      <c r="J19" s="49"/>
      <c r="M19" s="49"/>
    </row>
    <row r="20" spans="1:14" x14ac:dyDescent="0.25">
      <c r="A20" s="49"/>
      <c r="D20" s="49"/>
      <c r="E20" s="4">
        <f>'Libro Diario 1'!D30</f>
        <v>110000</v>
      </c>
      <c r="G20" s="49"/>
      <c r="J20" s="49"/>
      <c r="M20" s="49"/>
    </row>
    <row r="21" spans="1:14" x14ac:dyDescent="0.25">
      <c r="A21" s="49"/>
      <c r="D21" s="49"/>
      <c r="E21" s="4">
        <f>'Libro Diario 1'!D70</f>
        <v>200000</v>
      </c>
      <c r="G21" s="49"/>
      <c r="J21" s="49"/>
      <c r="M21" s="49"/>
    </row>
    <row r="22" spans="1:14" x14ac:dyDescent="0.25">
      <c r="A22" s="49"/>
      <c r="D22" s="49"/>
      <c r="G22" s="49"/>
      <c r="J22" s="49"/>
      <c r="M22" s="49"/>
    </row>
    <row r="23" spans="1:14" x14ac:dyDescent="0.25">
      <c r="A23" s="49"/>
      <c r="D23" s="49"/>
      <c r="G23" s="49"/>
      <c r="J23" s="49"/>
      <c r="M23" s="49"/>
    </row>
    <row r="24" spans="1:14" x14ac:dyDescent="0.25">
      <c r="A24" s="49"/>
      <c r="D24" s="49"/>
      <c r="G24" s="49"/>
      <c r="J24" s="49"/>
      <c r="M24" s="49"/>
    </row>
    <row r="25" spans="1:14" x14ac:dyDescent="0.25">
      <c r="A25" s="49"/>
      <c r="D25" s="49"/>
      <c r="G25" s="49"/>
      <c r="J25" s="49"/>
      <c r="M25" s="49"/>
    </row>
    <row r="26" spans="1:14" x14ac:dyDescent="0.25">
      <c r="A26" s="49"/>
      <c r="D26" s="49"/>
      <c r="G26" s="49"/>
      <c r="J26" s="49"/>
      <c r="M26" s="49"/>
    </row>
    <row r="27" spans="1:14" x14ac:dyDescent="0.25">
      <c r="A27" s="121">
        <f>+A18</f>
        <v>45000</v>
      </c>
      <c r="B27" s="6"/>
      <c r="D27" s="121"/>
      <c r="E27" s="6">
        <f>SUM(E18:E21)</f>
        <v>377500</v>
      </c>
      <c r="G27" s="121"/>
      <c r="H27" s="6">
        <f>+H18</f>
        <v>350000</v>
      </c>
      <c r="J27" s="121"/>
      <c r="K27" s="6">
        <f>+K18</f>
        <v>166000</v>
      </c>
      <c r="M27" s="121">
        <f>+M18</f>
        <v>3045</v>
      </c>
      <c r="N27" s="6"/>
    </row>
    <row r="28" spans="1:14" x14ac:dyDescent="0.25">
      <c r="A28" s="119">
        <f>A27</f>
        <v>45000</v>
      </c>
      <c r="E28" s="120">
        <f>E27</f>
        <v>377500</v>
      </c>
      <c r="H28" s="120">
        <f>H27</f>
        <v>350000</v>
      </c>
      <c r="K28" s="120">
        <f>K27</f>
        <v>166000</v>
      </c>
      <c r="M28" s="119">
        <f>M27</f>
        <v>3045</v>
      </c>
    </row>
    <row r="30" spans="1:14" x14ac:dyDescent="0.25">
      <c r="A30" s="140" t="str">
        <f>+'Libro Diario 1'!$B$22</f>
        <v>CREDITO FISCAL</v>
      </c>
      <c r="B30" s="140"/>
      <c r="D30" s="200"/>
      <c r="E30" s="200"/>
      <c r="G30" s="140" t="str">
        <f>+'Libro Diario 1'!$B$34</f>
        <v>DOCUMENTOS POR COBRAR</v>
      </c>
      <c r="H30" s="140"/>
      <c r="J30" s="141" t="str">
        <f>+'Libro Diario 1'!$B$35</f>
        <v>IMPUESTO A LAS TRANSACCIONES</v>
      </c>
      <c r="K30" s="141"/>
      <c r="M30" s="140" t="str">
        <f>+'Libro Diario 1'!$B$36</f>
        <v>VENTAS</v>
      </c>
      <c r="N30" s="140"/>
    </row>
    <row r="31" spans="1:14" x14ac:dyDescent="0.25">
      <c r="A31" s="48">
        <f>+'Libro Diario 1'!$C$17</f>
        <v>455</v>
      </c>
      <c r="D31" s="199"/>
      <c r="E31" s="199"/>
      <c r="G31" s="48">
        <f>+'Libro Diario 1'!$C$34</f>
        <v>22000</v>
      </c>
      <c r="H31" s="4">
        <f>+'Libro Diario 1'!$D$84</f>
        <v>9100</v>
      </c>
      <c r="J31" s="48">
        <f>+'Libro Diario 1'!$C$35</f>
        <v>1650</v>
      </c>
      <c r="M31" s="48"/>
      <c r="N31" s="4">
        <f>+'Libro Diario 1'!$D$36</f>
        <v>47850</v>
      </c>
    </row>
    <row r="32" spans="1:14" x14ac:dyDescent="0.25">
      <c r="A32" s="49">
        <f>+'Libro Diario 1'!$C$22</f>
        <v>8450</v>
      </c>
      <c r="D32" s="199"/>
      <c r="E32" s="199"/>
      <c r="G32" s="49">
        <f>+'Libro Diario 1'!$C$53</f>
        <v>35670</v>
      </c>
      <c r="H32" s="4">
        <f>+'Libro Diario 1'!$D$133</f>
        <v>39550</v>
      </c>
      <c r="J32" s="49">
        <f>+'Libro Diario 1'!$C$54</f>
        <v>1845</v>
      </c>
      <c r="M32" s="49"/>
      <c r="N32" s="4">
        <f>+'Libro Diario 1'!$D$55</f>
        <v>53505</v>
      </c>
    </row>
    <row r="33" spans="1:14" x14ac:dyDescent="0.25">
      <c r="A33" s="49">
        <f>+'Libro Diario 1'!$C$28</f>
        <v>26000</v>
      </c>
      <c r="D33" s="199"/>
      <c r="E33" s="199"/>
      <c r="G33" s="49">
        <f>+'Libro Diario 1'!$C$61</f>
        <v>9100</v>
      </c>
      <c r="J33" s="49">
        <f>+'Libro Diario 1'!$C$62</f>
        <v>975</v>
      </c>
      <c r="M33" s="49"/>
      <c r="N33" s="4">
        <f>+'Libro Diario 1'!$D$63</f>
        <v>28275</v>
      </c>
    </row>
    <row r="34" spans="1:14" x14ac:dyDescent="0.25">
      <c r="A34" s="49">
        <f>+'Libro Diario 1'!$C$42</f>
        <v>123.5</v>
      </c>
      <c r="D34" s="199"/>
      <c r="E34" s="199"/>
      <c r="G34" s="49">
        <f>+'Libro Diario 1'!$C$117</f>
        <v>39550</v>
      </c>
      <c r="J34" s="49">
        <f>+'Libro Diario 1'!$C$110</f>
        <v>12000</v>
      </c>
      <c r="M34" s="49"/>
      <c r="N34" s="4">
        <f>+'Libro Diario 1'!$D$111</f>
        <v>348000</v>
      </c>
    </row>
    <row r="35" spans="1:14" x14ac:dyDescent="0.25">
      <c r="A35" s="49">
        <f>+'Libro Diario 1'!$C$47</f>
        <v>12350</v>
      </c>
      <c r="D35" s="199"/>
      <c r="E35" s="199"/>
      <c r="G35" s="49">
        <f>+'Libro Diario 1'!$C$125</f>
        <v>105072</v>
      </c>
      <c r="J35" s="49">
        <f>+'Libro Diario 1'!$C$118</f>
        <v>3390</v>
      </c>
      <c r="M35" s="49"/>
      <c r="N35" s="4">
        <f>+'Libro Diario 1'!$D$119</f>
        <v>98310</v>
      </c>
    </row>
    <row r="36" spans="1:14" x14ac:dyDescent="0.25">
      <c r="A36" s="49">
        <f>+'Libro Diario 1'!$C$69</f>
        <v>26000</v>
      </c>
      <c r="D36" s="199"/>
      <c r="E36" s="199"/>
      <c r="G36" s="49">
        <f>+'Libro Diario 1'!$C$142</f>
        <v>63360.000000000007</v>
      </c>
      <c r="J36" s="49">
        <f>+'Libro Diario 1'!$C$126</f>
        <v>3940.2</v>
      </c>
      <c r="M36" s="49"/>
      <c r="N36" s="4">
        <f>+'Libro Diario 1'!$D$127</f>
        <v>114265.8</v>
      </c>
    </row>
    <row r="37" spans="1:14" x14ac:dyDescent="0.25">
      <c r="A37" s="49">
        <f>+'Libro Diario 1'!$C$74</f>
        <v>390</v>
      </c>
      <c r="D37" s="199"/>
      <c r="E37" s="199"/>
      <c r="G37" s="49"/>
      <c r="J37" s="49">
        <f>+'Libro Diario 1'!$C$143</f>
        <v>3456</v>
      </c>
      <c r="M37" s="49"/>
      <c r="N37" s="4">
        <f>+'Libro Diario 1'!$D$144</f>
        <v>100224</v>
      </c>
    </row>
    <row r="38" spans="1:14" x14ac:dyDescent="0.25">
      <c r="A38" s="49">
        <f>+'Libro Diario 1'!$C$79</f>
        <v>32500</v>
      </c>
      <c r="D38" s="199"/>
      <c r="E38" s="199"/>
      <c r="G38" s="49"/>
      <c r="J38" s="49">
        <f>+'Libro Diario 1'!$C$150</f>
        <v>3630</v>
      </c>
      <c r="M38" s="49"/>
      <c r="N38" s="4">
        <f>+'Libro Diario 1'!$D$152</f>
        <v>105270</v>
      </c>
    </row>
    <row r="39" spans="1:14" x14ac:dyDescent="0.25">
      <c r="A39" s="49">
        <f>+'Libro Diario 1'!$C$88</f>
        <v>650</v>
      </c>
      <c r="D39" s="199"/>
      <c r="E39" s="199"/>
      <c r="G39" s="49"/>
      <c r="J39" s="121">
        <f>SUM(I31:J38)</f>
        <v>30886.2</v>
      </c>
      <c r="K39" s="6"/>
      <c r="M39" s="49"/>
    </row>
    <row r="40" spans="1:14" x14ac:dyDescent="0.25">
      <c r="A40" s="49">
        <f>+'Libro Diario 1'!$C$137</f>
        <v>1300</v>
      </c>
      <c r="D40" s="199"/>
      <c r="E40" s="199"/>
      <c r="G40" s="49"/>
      <c r="J40" s="123">
        <f>+J39</f>
        <v>30886.2</v>
      </c>
      <c r="M40" s="49"/>
    </row>
    <row r="41" spans="1:14" x14ac:dyDescent="0.25">
      <c r="A41" s="4">
        <f>+'Libro Diario 1'!$C$162</f>
        <v>423.28000000000003</v>
      </c>
      <c r="D41" s="199"/>
      <c r="E41" s="199"/>
      <c r="G41" s="49"/>
    </row>
    <row r="42" spans="1:14" x14ac:dyDescent="0.25">
      <c r="A42" s="6">
        <f>SUM(A31:A41)</f>
        <v>108641.78</v>
      </c>
      <c r="B42" s="6">
        <v>108641.78</v>
      </c>
      <c r="D42" s="199"/>
      <c r="E42" s="199"/>
      <c r="G42" s="122">
        <f>SUM(G31:G41)</f>
        <v>274752</v>
      </c>
      <c r="H42" s="6">
        <f>SUM(H31:H41)</f>
        <v>48650</v>
      </c>
      <c r="M42" s="6"/>
      <c r="N42" s="6">
        <f>SUM(N31:N38)</f>
        <v>895699.8</v>
      </c>
    </row>
    <row r="43" spans="1:14" x14ac:dyDescent="0.25">
      <c r="A43" s="119">
        <f>A42</f>
        <v>108641.78</v>
      </c>
      <c r="B43" s="4">
        <v>108641.78</v>
      </c>
      <c r="D43" s="199"/>
      <c r="E43" s="201"/>
      <c r="G43" s="119">
        <f>G42-H42</f>
        <v>226102</v>
      </c>
      <c r="N43" s="120">
        <f>N42</f>
        <v>895699.8</v>
      </c>
    </row>
    <row r="44" spans="1:14" x14ac:dyDescent="0.25">
      <c r="N44" s="5"/>
    </row>
    <row r="45" spans="1:14" x14ac:dyDescent="0.25">
      <c r="A45" s="140" t="str">
        <f>+'Libro Diario 1'!$B$37</f>
        <v>DEBITO FISCAL</v>
      </c>
      <c r="B45" s="140"/>
      <c r="D45" s="140" t="str">
        <f>+'Libro Diario 1'!$B$38</f>
        <v>IT POR PAGAR</v>
      </c>
      <c r="E45" s="140"/>
      <c r="G45" s="140" t="str">
        <f>+'Libro Diario 1'!$B$41</f>
        <v>MATERIAL DE ESCRITORIO</v>
      </c>
      <c r="H45" s="140"/>
      <c r="J45" s="140" t="str">
        <f>+'Libro Diario 1'!$B$87</f>
        <v>SEGURIDAD Y VIGILANCIA</v>
      </c>
      <c r="K45" s="140"/>
      <c r="L45"/>
      <c r="M45"/>
      <c r="N45"/>
    </row>
    <row r="46" spans="1:14" x14ac:dyDescent="0.25">
      <c r="A46" s="48"/>
      <c r="B46" s="4">
        <f>+'Libro Diario 1'!$D$37</f>
        <v>7150</v>
      </c>
      <c r="D46" s="48"/>
      <c r="E46" s="4">
        <f>+'Libro Diario 1'!$D$38</f>
        <v>1650</v>
      </c>
      <c r="G46" s="48">
        <f>+'Libro Diario 1'!$C$41</f>
        <v>826.5</v>
      </c>
      <c r="J46" s="48">
        <f>+'Libro Diario 1'!$C$87</f>
        <v>4350</v>
      </c>
      <c r="L46"/>
      <c r="M46"/>
      <c r="N46"/>
    </row>
    <row r="47" spans="1:14" x14ac:dyDescent="0.25">
      <c r="A47" s="49"/>
      <c r="B47" s="4">
        <f>+'Libro Diario 1'!$D$56</f>
        <v>7995</v>
      </c>
      <c r="D47" s="49"/>
      <c r="E47" s="4">
        <f>+'Libro Diario 1'!$D$57</f>
        <v>1845</v>
      </c>
      <c r="G47" s="49"/>
      <c r="J47" s="49"/>
      <c r="L47"/>
      <c r="M47"/>
      <c r="N47"/>
    </row>
    <row r="48" spans="1:14" x14ac:dyDescent="0.25">
      <c r="A48" s="49"/>
      <c r="B48" s="4">
        <f>+'Libro Diario 1'!$D$64</f>
        <v>4225</v>
      </c>
      <c r="D48" s="49"/>
      <c r="E48" s="4">
        <f>+'Libro Diario 1'!$D$65</f>
        <v>975</v>
      </c>
      <c r="G48" s="49"/>
      <c r="J48" s="49"/>
      <c r="L48"/>
      <c r="M48"/>
      <c r="N48"/>
    </row>
    <row r="49" spans="1:14" x14ac:dyDescent="0.25">
      <c r="A49" s="49"/>
      <c r="B49" s="4">
        <f>+'Libro Diario 1'!$D$112</f>
        <v>52000</v>
      </c>
      <c r="D49" s="49"/>
      <c r="E49" s="4">
        <f>+'Libro Diario 1'!$D$113</f>
        <v>12000</v>
      </c>
      <c r="G49" s="49"/>
      <c r="J49" s="49"/>
      <c r="L49"/>
      <c r="M49"/>
      <c r="N49"/>
    </row>
    <row r="50" spans="1:14" x14ac:dyDescent="0.25">
      <c r="A50" s="49"/>
      <c r="B50" s="4">
        <f>+'Libro Diario 1'!$D$120</f>
        <v>14690</v>
      </c>
      <c r="D50" s="49"/>
      <c r="E50" s="4">
        <f>+'Libro Diario 1'!$D$121</f>
        <v>3390</v>
      </c>
      <c r="G50" s="49"/>
      <c r="J50" s="49"/>
      <c r="L50"/>
      <c r="M50"/>
      <c r="N50"/>
    </row>
    <row r="51" spans="1:14" x14ac:dyDescent="0.25">
      <c r="A51" s="49"/>
      <c r="B51" s="4">
        <f>+'Libro Diario 1'!$D$128</f>
        <v>17074.2</v>
      </c>
      <c r="D51" s="49"/>
      <c r="E51" s="4">
        <f>+'Libro Diario 1'!$D$129</f>
        <v>3940.2</v>
      </c>
      <c r="G51" s="49"/>
      <c r="J51" s="49"/>
      <c r="L51"/>
      <c r="M51"/>
      <c r="N51"/>
    </row>
    <row r="52" spans="1:14" x14ac:dyDescent="0.25">
      <c r="A52" s="49"/>
      <c r="B52" s="4">
        <f>+'Libro Diario 1'!$D$145</f>
        <v>14976</v>
      </c>
      <c r="D52" s="49"/>
      <c r="E52" s="4">
        <f>+'Libro Diario 1'!$D$146</f>
        <v>3456</v>
      </c>
      <c r="G52" s="49"/>
      <c r="J52" s="49"/>
      <c r="L52"/>
      <c r="M52"/>
      <c r="N52"/>
    </row>
    <row r="53" spans="1:14" x14ac:dyDescent="0.25">
      <c r="A53" s="49"/>
      <c r="B53" s="4">
        <f>+'Libro Diario 1'!$D$153</f>
        <v>15730</v>
      </c>
      <c r="D53" s="49"/>
      <c r="E53" s="4">
        <f>+'Libro Diario 1'!$D$154</f>
        <v>3630</v>
      </c>
      <c r="G53" s="49"/>
      <c r="J53" s="49"/>
      <c r="L53"/>
      <c r="M53"/>
      <c r="N53"/>
    </row>
    <row r="54" spans="1:14" x14ac:dyDescent="0.25">
      <c r="A54" s="49"/>
      <c r="D54" s="49"/>
      <c r="G54" s="49"/>
      <c r="J54" s="49"/>
      <c r="L54"/>
      <c r="M54"/>
      <c r="N54"/>
    </row>
    <row r="55" spans="1:14" x14ac:dyDescent="0.25">
      <c r="A55" s="121">
        <v>133840.20000000001</v>
      </c>
      <c r="B55" s="6">
        <f>SUM(B46:B54)</f>
        <v>133840.20000000001</v>
      </c>
      <c r="D55" s="121">
        <v>0</v>
      </c>
      <c r="E55" s="6">
        <f>SUM(E46:E54)</f>
        <v>30886.2</v>
      </c>
      <c r="G55" s="121">
        <f>+G46</f>
        <v>826.5</v>
      </c>
      <c r="H55" s="6"/>
      <c r="J55" s="121">
        <f>+J46</f>
        <v>4350</v>
      </c>
      <c r="K55" s="6"/>
      <c r="L55"/>
      <c r="M55"/>
      <c r="N55"/>
    </row>
    <row r="56" spans="1:14" x14ac:dyDescent="0.25">
      <c r="A56" s="4">
        <v>133840.20000000001</v>
      </c>
      <c r="B56" s="120">
        <f>+B55</f>
        <v>133840.20000000001</v>
      </c>
      <c r="E56" s="120">
        <f>+E55</f>
        <v>30886.2</v>
      </c>
      <c r="G56" s="119">
        <f>G55</f>
        <v>826.5</v>
      </c>
      <c r="J56" s="119">
        <f>+J55</f>
        <v>4350</v>
      </c>
      <c r="L56"/>
      <c r="M56"/>
      <c r="N56"/>
    </row>
    <row r="58" spans="1:14" x14ac:dyDescent="0.25">
      <c r="A58" s="140" t="str">
        <f>+'Libro Diario 1'!$B$92</f>
        <v>COMISIONES</v>
      </c>
      <c r="B58" s="140"/>
      <c r="D58" s="141" t="str">
        <f>+'Libro Diario 1'!$B$94</f>
        <v>APORTE LABORAL GESTORA POR PAGAR</v>
      </c>
      <c r="E58" s="141"/>
      <c r="G58" s="142" t="str">
        <f>+'Libro Diario 1'!$B$97</f>
        <v>APORTES PATRONALES GESTORA</v>
      </c>
      <c r="H58" s="142"/>
      <c r="J58" s="140" t="str">
        <f>+'Libro Diario 1'!$B$98</f>
        <v>CAJA DE SALUD</v>
      </c>
      <c r="K58" s="140"/>
      <c r="M58" s="140" t="str">
        <f>+'Libro Diario 1'!$B$99</f>
        <v>AGUINALDOS</v>
      </c>
      <c r="N58" s="140"/>
    </row>
    <row r="59" spans="1:14" x14ac:dyDescent="0.25">
      <c r="A59" s="48">
        <f>+'Libro Diario 1'!$C$92</f>
        <v>285550</v>
      </c>
      <c r="D59" s="48"/>
      <c r="E59" s="4">
        <f>+'Libro Diario 1'!$D$94</f>
        <v>36293.405000000006</v>
      </c>
      <c r="G59" s="48">
        <f>+'Libro Diario 1'!$C$97</f>
        <v>19160.404999999999</v>
      </c>
      <c r="J59" s="48">
        <f>+'Libro Diario 1'!$C$98</f>
        <v>28555</v>
      </c>
      <c r="M59" s="48">
        <f>+'Libro Diario 1'!$C$99</f>
        <v>35454.83</v>
      </c>
    </row>
    <row r="60" spans="1:14" x14ac:dyDescent="0.25">
      <c r="A60" s="49"/>
      <c r="D60" s="49"/>
      <c r="E60" s="4">
        <f>+'Libro Diario 1'!$D$168</f>
        <v>34409.147499999999</v>
      </c>
      <c r="G60" s="49">
        <f>+'Libro Diario 1'!$C$171</f>
        <v>18165.647500000003</v>
      </c>
      <c r="J60" s="49">
        <f>+'Libro Diario 1'!$C$172</f>
        <v>27072.5</v>
      </c>
      <c r="M60" s="49">
        <f>+'Libro Diario 1'!$C$173</f>
        <v>22560.416666666668</v>
      </c>
    </row>
    <row r="61" spans="1:14" x14ac:dyDescent="0.25">
      <c r="A61" s="49"/>
      <c r="D61" s="49"/>
      <c r="G61" s="49"/>
      <c r="J61" s="49"/>
      <c r="M61" s="49"/>
    </row>
    <row r="62" spans="1:14" x14ac:dyDescent="0.25">
      <c r="A62" s="49"/>
      <c r="D62" s="49"/>
      <c r="G62" s="49"/>
      <c r="J62" s="49"/>
      <c r="M62" s="49"/>
    </row>
    <row r="63" spans="1:14" x14ac:dyDescent="0.25">
      <c r="A63" s="49"/>
      <c r="D63" s="49"/>
      <c r="G63" s="49"/>
      <c r="J63" s="49"/>
      <c r="M63" s="49"/>
    </row>
    <row r="64" spans="1:14" x14ac:dyDescent="0.25">
      <c r="A64" s="49"/>
      <c r="D64" s="49"/>
      <c r="G64" s="49"/>
      <c r="J64" s="49"/>
      <c r="M64" s="49"/>
    </row>
    <row r="65" spans="1:14" x14ac:dyDescent="0.25">
      <c r="A65" s="49"/>
      <c r="D65" s="49"/>
      <c r="G65" s="49"/>
      <c r="J65" s="49"/>
      <c r="M65" s="49"/>
    </row>
    <row r="66" spans="1:14" x14ac:dyDescent="0.25">
      <c r="A66" s="49"/>
      <c r="D66" s="49"/>
      <c r="G66" s="49"/>
      <c r="J66" s="49"/>
      <c r="M66" s="49"/>
    </row>
    <row r="67" spans="1:14" x14ac:dyDescent="0.25">
      <c r="A67" s="49"/>
      <c r="D67" s="49"/>
      <c r="G67" s="49"/>
      <c r="J67" s="49"/>
      <c r="M67" s="49"/>
    </row>
    <row r="68" spans="1:14" x14ac:dyDescent="0.25">
      <c r="A68" s="121">
        <f>+A59</f>
        <v>285550</v>
      </c>
      <c r="B68" s="6"/>
      <c r="D68" s="121"/>
      <c r="E68" s="6">
        <f>E59+E60</f>
        <v>70702.552500000005</v>
      </c>
      <c r="G68" s="121">
        <f>G60+G59</f>
        <v>37326.052500000005</v>
      </c>
      <c r="H68" s="6"/>
      <c r="J68" s="121">
        <f>J59+J60</f>
        <v>55627.5</v>
      </c>
      <c r="K68" s="6"/>
      <c r="M68" s="121">
        <f>M59+M60</f>
        <v>58015.246666666673</v>
      </c>
      <c r="N68" s="6"/>
    </row>
    <row r="69" spans="1:14" x14ac:dyDescent="0.25">
      <c r="A69" s="119">
        <f>A68</f>
        <v>285550</v>
      </c>
      <c r="E69" s="120">
        <f>+E68</f>
        <v>70702.552500000005</v>
      </c>
      <c r="G69" s="119">
        <f>+G68</f>
        <v>37326.052500000005</v>
      </c>
      <c r="J69" s="119">
        <f>+J68</f>
        <v>55627.5</v>
      </c>
      <c r="M69" s="119">
        <f>+M68</f>
        <v>58015.246666666673</v>
      </c>
    </row>
    <row r="72" spans="1:14" x14ac:dyDescent="0.25">
      <c r="A72" s="140" t="str">
        <f>+'Libro Diario 1'!$B$100</f>
        <v>INDEMNIZACION</v>
      </c>
      <c r="B72" s="140"/>
      <c r="D72" s="141" t="str">
        <f>+'Libro Diario 1'!$B$175</f>
        <v>PRIMAS</v>
      </c>
      <c r="E72" s="141"/>
      <c r="G72" s="143" t="str">
        <f>+'Libro Diario 1'!$B$102</f>
        <v>APORTES PATRONALES GESTORA POR PAGAR</v>
      </c>
      <c r="H72" s="143"/>
      <c r="J72" s="140" t="str">
        <f>+'Libro Diario 1'!$B$103</f>
        <v>CAJA DE SALUD POR PAGAR</v>
      </c>
      <c r="K72" s="140"/>
      <c r="M72" s="140" t="str">
        <f>+'Libro Diario 1'!$B$104</f>
        <v>AGUINALDO POR PAGAR</v>
      </c>
      <c r="N72" s="140"/>
    </row>
    <row r="73" spans="1:14" x14ac:dyDescent="0.25">
      <c r="A73" s="48">
        <f>+'Libro Diario 1'!$C$100</f>
        <v>35454.83</v>
      </c>
      <c r="D73" s="48">
        <f>+'Libro Diario 1'!$C$101</f>
        <v>35454.83</v>
      </c>
      <c r="E73" s="4">
        <v>0</v>
      </c>
      <c r="G73" s="48">
        <v>0</v>
      </c>
      <c r="H73" s="4">
        <f>+'Libro Diario 1'!$D$102</f>
        <v>19160.404999999999</v>
      </c>
      <c r="J73" s="48">
        <v>0</v>
      </c>
      <c r="K73" s="4">
        <f>+'Libro Diario 1'!$D$103</f>
        <v>28555</v>
      </c>
      <c r="M73" s="48">
        <v>0</v>
      </c>
      <c r="N73" s="4">
        <f>+'Libro Diario 1'!$D$104</f>
        <v>35454.83</v>
      </c>
    </row>
    <row r="74" spans="1:14" x14ac:dyDescent="0.25">
      <c r="A74" s="49">
        <f>+'Libro Diario 1'!$C$174</f>
        <v>22560.416666666668</v>
      </c>
      <c r="D74" s="49">
        <f>+'Libro Diario 1'!$C$175</f>
        <v>22560.416666666668</v>
      </c>
      <c r="E74" s="4">
        <v>0</v>
      </c>
      <c r="G74" s="49">
        <v>0</v>
      </c>
      <c r="H74" s="4">
        <f>+'Libro Diario 1'!$D$176</f>
        <v>18165.647500000003</v>
      </c>
      <c r="J74" s="49">
        <v>0</v>
      </c>
      <c r="K74" s="4">
        <f>+'Libro Diario 1'!$D$177</f>
        <v>27072.5</v>
      </c>
      <c r="M74" s="49">
        <v>0</v>
      </c>
      <c r="N74" s="4">
        <f>+'Libro Diario 1'!$D$178</f>
        <v>22560.416666666668</v>
      </c>
    </row>
    <row r="75" spans="1:14" x14ac:dyDescent="0.25">
      <c r="A75" s="49"/>
      <c r="D75" s="49"/>
      <c r="G75" s="49"/>
      <c r="J75" s="49"/>
      <c r="M75" s="49"/>
    </row>
    <row r="76" spans="1:14" x14ac:dyDescent="0.25">
      <c r="A76" s="49"/>
      <c r="D76" s="49"/>
      <c r="G76" s="49"/>
      <c r="J76" s="49"/>
      <c r="M76" s="49"/>
    </row>
    <row r="77" spans="1:14" x14ac:dyDescent="0.25">
      <c r="A77" s="49"/>
      <c r="D77" s="49"/>
      <c r="G77" s="49"/>
      <c r="J77" s="49"/>
      <c r="M77" s="49"/>
    </row>
    <row r="78" spans="1:14" x14ac:dyDescent="0.25">
      <c r="A78" s="49"/>
      <c r="D78" s="49"/>
      <c r="G78" s="49"/>
      <c r="J78" s="49"/>
      <c r="M78" s="49"/>
    </row>
    <row r="79" spans="1:14" x14ac:dyDescent="0.25">
      <c r="A79" s="49"/>
      <c r="D79" s="49"/>
      <c r="G79" s="49"/>
      <c r="J79" s="49"/>
      <c r="M79" s="49"/>
    </row>
    <row r="80" spans="1:14" x14ac:dyDescent="0.25">
      <c r="A80" s="49"/>
      <c r="D80" s="49"/>
      <c r="G80" s="49"/>
      <c r="J80" s="49"/>
      <c r="M80" s="49"/>
    </row>
    <row r="81" spans="1:14" x14ac:dyDescent="0.25">
      <c r="A81" s="49"/>
      <c r="D81" s="49"/>
      <c r="G81" s="49"/>
      <c r="J81" s="49"/>
      <c r="M81" s="49"/>
    </row>
    <row r="82" spans="1:14" x14ac:dyDescent="0.25">
      <c r="A82" s="121">
        <f>A73+A74</f>
        <v>58015.246666666673</v>
      </c>
      <c r="B82" s="6"/>
      <c r="D82" s="121">
        <f>D73+D74</f>
        <v>58015.246666666673</v>
      </c>
      <c r="E82" s="6">
        <f>E73+E74</f>
        <v>0</v>
      </c>
      <c r="G82" s="121"/>
      <c r="H82" s="6">
        <f>H73+H74</f>
        <v>37326.052500000005</v>
      </c>
      <c r="J82" s="121"/>
      <c r="K82" s="6">
        <f>K73+K74</f>
        <v>55627.5</v>
      </c>
      <c r="M82" s="121"/>
      <c r="N82" s="6">
        <f>N73+N74</f>
        <v>58015.246666666673</v>
      </c>
    </row>
    <row r="83" spans="1:14" x14ac:dyDescent="0.25">
      <c r="A83" s="119">
        <f>A82</f>
        <v>58015.246666666673</v>
      </c>
      <c r="D83" s="119">
        <f>+D82</f>
        <v>58015.246666666673</v>
      </c>
      <c r="H83" s="120">
        <f>+H82</f>
        <v>37326.052500000005</v>
      </c>
      <c r="K83" s="120">
        <f>+K82</f>
        <v>55627.5</v>
      </c>
      <c r="N83" s="120">
        <f>+N82</f>
        <v>58015.246666666673</v>
      </c>
    </row>
    <row r="86" spans="1:14" x14ac:dyDescent="0.25">
      <c r="A86" s="140" t="str">
        <f>+'Libro Diario 1'!$B$179</f>
        <v>PREVISION PARA INDEMIZACION</v>
      </c>
      <c r="B86" s="140"/>
      <c r="D86" s="141" t="str">
        <f>+'Libro Diario 1'!$B$106</f>
        <v>PRIMAS POR PAGAR</v>
      </c>
      <c r="E86" s="141"/>
      <c r="G86" s="142" t="str">
        <f>+'Libro Diario 1'!$B$136</f>
        <v>PUBLICIDAD EN RADIO Y T.V.</v>
      </c>
      <c r="H86" s="142"/>
      <c r="J86" s="140" t="str">
        <f>+'Libro Diario 1'!$B$161</f>
        <v>ENERGIA ELECTRICA</v>
      </c>
      <c r="K86" s="140"/>
      <c r="M86" s="140" t="str">
        <f>+'Libro Diario 1'!$B$166</f>
        <v>SUELDOS Y SALARIOS</v>
      </c>
      <c r="N86" s="140"/>
    </row>
    <row r="87" spans="1:14" x14ac:dyDescent="0.25">
      <c r="A87" s="48" t="s">
        <v>622</v>
      </c>
      <c r="B87" s="4">
        <f>+'Libro Diario 1'!$D$105</f>
        <v>35454.83</v>
      </c>
      <c r="D87" s="48"/>
      <c r="E87" s="4">
        <f>+'Libro Diario 1'!$D$106</f>
        <v>35454.83</v>
      </c>
      <c r="G87" s="48">
        <f>+'Libro Diario 1'!$C$136</f>
        <v>8700</v>
      </c>
      <c r="J87" s="48">
        <f>+'Libro Diario 1'!$C$161</f>
        <v>2832.72</v>
      </c>
      <c r="M87" s="48">
        <f>+'Libro Diario 1'!$C$166</f>
        <v>270725</v>
      </c>
    </row>
    <row r="88" spans="1:14" x14ac:dyDescent="0.25">
      <c r="A88" s="49"/>
      <c r="B88" s="4">
        <f>+'Libro Diario 1'!$D$179</f>
        <v>22560.416666666668</v>
      </c>
      <c r="D88" s="49"/>
      <c r="E88" s="4">
        <f>+'Libro Diario 1'!$D$180</f>
        <v>22560.416666666668</v>
      </c>
      <c r="G88" s="49" t="s">
        <v>622</v>
      </c>
      <c r="J88" s="49" t="s">
        <v>622</v>
      </c>
      <c r="M88" s="49" t="s">
        <v>622</v>
      </c>
    </row>
    <row r="89" spans="1:14" x14ac:dyDescent="0.25">
      <c r="A89" s="49"/>
      <c r="D89" s="49"/>
      <c r="G89" s="49"/>
      <c r="J89" s="49"/>
      <c r="M89" s="49"/>
    </row>
    <row r="90" spans="1:14" x14ac:dyDescent="0.25">
      <c r="A90" s="49"/>
      <c r="D90" s="49"/>
      <c r="G90" s="49"/>
      <c r="J90" s="49"/>
      <c r="M90" s="49"/>
    </row>
    <row r="91" spans="1:14" x14ac:dyDescent="0.25">
      <c r="A91" s="49"/>
      <c r="D91" s="49"/>
      <c r="G91" s="49"/>
      <c r="J91" s="49"/>
      <c r="M91" s="49"/>
    </row>
    <row r="92" spans="1:14" x14ac:dyDescent="0.25">
      <c r="A92" s="49"/>
      <c r="D92" s="49"/>
      <c r="G92" s="49"/>
      <c r="J92" s="49"/>
      <c r="M92" s="49"/>
    </row>
    <row r="93" spans="1:14" x14ac:dyDescent="0.25">
      <c r="A93" s="49"/>
      <c r="D93" s="49"/>
      <c r="G93" s="49"/>
      <c r="J93" s="49"/>
      <c r="M93" s="49"/>
    </row>
    <row r="94" spans="1:14" x14ac:dyDescent="0.25">
      <c r="A94" s="49"/>
      <c r="D94" s="49"/>
      <c r="G94" s="49"/>
      <c r="J94" s="49"/>
      <c r="M94" s="49"/>
    </row>
    <row r="95" spans="1:14" x14ac:dyDescent="0.25">
      <c r="A95" s="49"/>
      <c r="D95" s="49"/>
      <c r="G95" s="49"/>
      <c r="J95" s="49"/>
      <c r="M95" s="49"/>
    </row>
    <row r="96" spans="1:14" x14ac:dyDescent="0.25">
      <c r="A96" s="121" t="str">
        <f>+A87</f>
        <v xml:space="preserve"> </v>
      </c>
      <c r="B96" s="6">
        <f>+B97</f>
        <v>58015.246666666673</v>
      </c>
      <c r="D96" s="121"/>
      <c r="E96" s="6">
        <f>E87+E88</f>
        <v>58015.246666666673</v>
      </c>
      <c r="G96" s="121">
        <f>+G87</f>
        <v>8700</v>
      </c>
      <c r="H96" s="6"/>
      <c r="J96" s="121">
        <f>+J87</f>
        <v>2832.72</v>
      </c>
      <c r="K96" s="6"/>
      <c r="M96" s="121">
        <f>+M87</f>
        <v>270725</v>
      </c>
      <c r="N96" s="6"/>
    </row>
    <row r="97" spans="2:13" x14ac:dyDescent="0.25">
      <c r="B97" s="120">
        <f>B87+B88</f>
        <v>58015.246666666673</v>
      </c>
      <c r="E97" s="120">
        <f>+E96</f>
        <v>58015.246666666673</v>
      </c>
      <c r="G97" s="119">
        <f>+G96</f>
        <v>8700</v>
      </c>
      <c r="J97" s="119">
        <f>+J96</f>
        <v>2832.72</v>
      </c>
      <c r="M97" s="118">
        <f>+M96</f>
        <v>270725</v>
      </c>
    </row>
  </sheetData>
  <mergeCells count="36">
    <mergeCell ref="J45:K45"/>
    <mergeCell ref="A30:B30"/>
    <mergeCell ref="D30:E30"/>
    <mergeCell ref="O4:P4"/>
    <mergeCell ref="R4:S4"/>
    <mergeCell ref="M4:N4"/>
    <mergeCell ref="A17:B17"/>
    <mergeCell ref="D17:E17"/>
    <mergeCell ref="G17:H17"/>
    <mergeCell ref="J17:K17"/>
    <mergeCell ref="M17:N17"/>
    <mergeCell ref="D4:E4"/>
    <mergeCell ref="G4:H4"/>
    <mergeCell ref="J4:K4"/>
    <mergeCell ref="A4:B4"/>
    <mergeCell ref="M72:N72"/>
    <mergeCell ref="G30:H30"/>
    <mergeCell ref="J30:K30"/>
    <mergeCell ref="A58:B58"/>
    <mergeCell ref="D58:E58"/>
    <mergeCell ref="G58:H58"/>
    <mergeCell ref="J58:K58"/>
    <mergeCell ref="M58:N58"/>
    <mergeCell ref="A72:B72"/>
    <mergeCell ref="D72:E72"/>
    <mergeCell ref="G72:H72"/>
    <mergeCell ref="J72:K72"/>
    <mergeCell ref="M30:N30"/>
    <mergeCell ref="A45:B45"/>
    <mergeCell ref="D45:E45"/>
    <mergeCell ref="G45:H45"/>
    <mergeCell ref="A86:B86"/>
    <mergeCell ref="D86:E86"/>
    <mergeCell ref="G86:H86"/>
    <mergeCell ref="J86:K86"/>
    <mergeCell ref="M86:N8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-0.249977111117893"/>
  </sheetPr>
  <dimension ref="A1:K64"/>
  <sheetViews>
    <sheetView showGridLines="0" showZeros="0" topLeftCell="C26" zoomScaleNormal="100" workbookViewId="0">
      <selection activeCell="K45" sqref="K45"/>
    </sheetView>
  </sheetViews>
  <sheetFormatPr baseColWidth="10" defaultColWidth="11.42578125" defaultRowHeight="15" x14ac:dyDescent="0.25"/>
  <cols>
    <col min="1" max="1" width="5.140625" bestFit="1" customWidth="1"/>
    <col min="2" max="2" width="39.42578125" customWidth="1"/>
    <col min="3" max="3" width="5.85546875" style="1" customWidth="1"/>
    <col min="4" max="4" width="12" style="4" bestFit="1" customWidth="1"/>
    <col min="5" max="7" width="11.42578125" style="4"/>
    <col min="8" max="11" width="12.85546875" style="4" customWidth="1"/>
  </cols>
  <sheetData>
    <row r="1" spans="1:11" x14ac:dyDescent="0.25">
      <c r="A1" t="s">
        <v>735</v>
      </c>
    </row>
    <row r="2" spans="1:11" x14ac:dyDescent="0.25">
      <c r="A2" s="125" t="s">
        <v>34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</row>
    <row r="3" spans="1:11" x14ac:dyDescent="0.25">
      <c r="A3" s="125" t="s">
        <v>599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</row>
    <row r="4" spans="1:11" x14ac:dyDescent="0.25">
      <c r="A4" s="125" t="s">
        <v>33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</row>
    <row r="5" spans="1:11" ht="6.75" customHeight="1" x14ac:dyDescent="0.25"/>
    <row r="6" spans="1:11" s="9" customFormat="1" x14ac:dyDescent="0.25">
      <c r="A6" s="153" t="s">
        <v>26</v>
      </c>
      <c r="B6" s="153" t="s">
        <v>27</v>
      </c>
      <c r="C6" s="155" t="s">
        <v>28</v>
      </c>
      <c r="D6" s="157" t="s">
        <v>29</v>
      </c>
      <c r="E6" s="157"/>
      <c r="F6" s="158" t="s">
        <v>30</v>
      </c>
      <c r="G6" s="158"/>
      <c r="H6" s="148" t="s">
        <v>35</v>
      </c>
      <c r="I6" s="148"/>
      <c r="J6" s="149" t="s">
        <v>36</v>
      </c>
      <c r="K6" s="149"/>
    </row>
    <row r="7" spans="1:11" s="9" customFormat="1" x14ac:dyDescent="0.25">
      <c r="A7" s="154"/>
      <c r="B7" s="154"/>
      <c r="C7" s="156"/>
      <c r="D7" s="10" t="s">
        <v>12</v>
      </c>
      <c r="E7" s="10" t="s">
        <v>13</v>
      </c>
      <c r="F7" s="11" t="s">
        <v>31</v>
      </c>
      <c r="G7" s="11" t="s">
        <v>32</v>
      </c>
      <c r="H7" s="30" t="s">
        <v>39</v>
      </c>
      <c r="I7" s="30" t="s">
        <v>4</v>
      </c>
      <c r="J7" s="32" t="s">
        <v>37</v>
      </c>
      <c r="K7" s="32" t="s">
        <v>38</v>
      </c>
    </row>
    <row r="8" spans="1:11" s="9" customFormat="1" x14ac:dyDescent="0.25">
      <c r="A8" s="15">
        <v>1</v>
      </c>
      <c r="B8" s="29" t="s">
        <v>22</v>
      </c>
      <c r="C8" s="16" t="s">
        <v>723</v>
      </c>
      <c r="D8" s="10">
        <f>+Mayores!$A$13</f>
        <v>869480</v>
      </c>
      <c r="E8" s="10">
        <f>+Mayores!$B$13</f>
        <v>724270.86750000005</v>
      </c>
      <c r="F8" s="11">
        <f>IF(D8&gt;E8,D8-E8,"")</f>
        <v>145209.13249999995</v>
      </c>
      <c r="G8" s="11" t="str">
        <f>IF(E8&gt;D8,E8-D8,"")</f>
        <v/>
      </c>
      <c r="H8" s="31">
        <f>IF(C8="E",F8,)</f>
        <v>0</v>
      </c>
      <c r="I8" s="31">
        <f>IF(C8="I",G8,0)</f>
        <v>0</v>
      </c>
      <c r="J8" s="33">
        <f>IF(C8="A",F8,0)</f>
        <v>145209.13249999995</v>
      </c>
      <c r="K8" s="33">
        <f>IF(OR(C8="P",C8="PAT"),G8,0)</f>
        <v>0</v>
      </c>
    </row>
    <row r="9" spans="1:11" s="9" customFormat="1" x14ac:dyDescent="0.25">
      <c r="A9" s="15">
        <v>2</v>
      </c>
      <c r="B9" s="29" t="s">
        <v>24</v>
      </c>
      <c r="C9" s="16" t="s">
        <v>723</v>
      </c>
      <c r="D9" s="10">
        <f>+Mayores!$D$13</f>
        <v>428958</v>
      </c>
      <c r="E9" s="10">
        <f>+Mayores!$E$13</f>
        <v>419706</v>
      </c>
      <c r="F9" s="11">
        <f t="shared" ref="F9:F40" si="0">IF(D9&gt;E9,D9-E9,"")</f>
        <v>9252</v>
      </c>
      <c r="G9" s="11" t="str">
        <f t="shared" ref="G9:G40" si="1">IF(E9&gt;D9,E9-D9,"")</f>
        <v/>
      </c>
      <c r="H9" s="31">
        <f t="shared" ref="H9:H40" si="2">IF(C9="E",F9,)</f>
        <v>0</v>
      </c>
      <c r="I9" s="31">
        <f t="shared" ref="I9:I40" si="3">IF(C9="I",G9,0)</f>
        <v>0</v>
      </c>
      <c r="J9" s="33">
        <f t="shared" ref="J9:J40" si="4">IF(C9="A",F9,0)</f>
        <v>9252</v>
      </c>
      <c r="K9" s="33">
        <f t="shared" ref="K9:K40" si="5">IF(OR(C9="P",C9="PAT"),G9,0)</f>
        <v>0</v>
      </c>
    </row>
    <row r="10" spans="1:11" s="9" customFormat="1" x14ac:dyDescent="0.25">
      <c r="A10" s="15">
        <v>3</v>
      </c>
      <c r="B10" s="29" t="s">
        <v>716</v>
      </c>
      <c r="C10" s="16" t="s">
        <v>723</v>
      </c>
      <c r="D10" s="10">
        <f>+Mayores!$G$14</f>
        <v>788700</v>
      </c>
      <c r="E10" s="10"/>
      <c r="F10" s="11">
        <f t="shared" si="0"/>
        <v>788700</v>
      </c>
      <c r="G10" s="11" t="str">
        <f t="shared" si="1"/>
        <v/>
      </c>
      <c r="H10" s="31">
        <f t="shared" si="2"/>
        <v>0</v>
      </c>
      <c r="I10" s="31">
        <f t="shared" si="3"/>
        <v>0</v>
      </c>
      <c r="J10" s="33">
        <f t="shared" si="4"/>
        <v>788700</v>
      </c>
      <c r="K10" s="33">
        <f t="shared" si="5"/>
        <v>0</v>
      </c>
    </row>
    <row r="11" spans="1:11" s="9" customFormat="1" x14ac:dyDescent="0.25">
      <c r="A11" s="15">
        <v>4</v>
      </c>
      <c r="B11" s="29" t="s">
        <v>717</v>
      </c>
      <c r="C11" s="16" t="s">
        <v>723</v>
      </c>
      <c r="D11" s="10">
        <f>+Mayores!$J$14</f>
        <v>55000</v>
      </c>
      <c r="E11" s="10"/>
      <c r="F11" s="11">
        <f t="shared" si="0"/>
        <v>55000</v>
      </c>
      <c r="G11" s="11" t="str">
        <f t="shared" si="1"/>
        <v/>
      </c>
      <c r="H11" s="31">
        <f t="shared" si="2"/>
        <v>0</v>
      </c>
      <c r="I11" s="31">
        <f t="shared" si="3"/>
        <v>0</v>
      </c>
      <c r="J11" s="33">
        <f t="shared" si="4"/>
        <v>55000</v>
      </c>
      <c r="K11" s="33">
        <f t="shared" si="5"/>
        <v>0</v>
      </c>
    </row>
    <row r="12" spans="1:11" s="9" customFormat="1" x14ac:dyDescent="0.25">
      <c r="A12" s="15">
        <v>5</v>
      </c>
      <c r="B12" s="29" t="s">
        <v>5</v>
      </c>
      <c r="C12" s="16" t="s">
        <v>723</v>
      </c>
      <c r="D12" s="10">
        <f>+Mayores!$M$14</f>
        <v>14610</v>
      </c>
      <c r="E12" s="10"/>
      <c r="F12" s="11">
        <f t="shared" si="0"/>
        <v>14610</v>
      </c>
      <c r="G12" s="11" t="str">
        <f t="shared" si="1"/>
        <v/>
      </c>
      <c r="H12" s="31">
        <f t="shared" si="2"/>
        <v>0</v>
      </c>
      <c r="I12" s="31">
        <f t="shared" si="3"/>
        <v>0</v>
      </c>
      <c r="J12" s="33">
        <f t="shared" si="4"/>
        <v>14610</v>
      </c>
      <c r="K12" s="33">
        <f t="shared" si="5"/>
        <v>0</v>
      </c>
    </row>
    <row r="13" spans="1:11" s="9" customFormat="1" x14ac:dyDescent="0.25">
      <c r="A13" s="15">
        <v>6</v>
      </c>
      <c r="B13" s="29" t="s">
        <v>618</v>
      </c>
      <c r="C13" s="16" t="s">
        <v>723</v>
      </c>
      <c r="D13" s="10">
        <f>+Mayores!$A$28</f>
        <v>45000</v>
      </c>
      <c r="E13" s="10"/>
      <c r="F13" s="11">
        <f t="shared" si="0"/>
        <v>45000</v>
      </c>
      <c r="G13" s="11" t="str">
        <f t="shared" si="1"/>
        <v/>
      </c>
      <c r="H13" s="31">
        <f t="shared" si="2"/>
        <v>0</v>
      </c>
      <c r="I13" s="31">
        <f t="shared" si="3"/>
        <v>0</v>
      </c>
      <c r="J13" s="33">
        <f t="shared" si="4"/>
        <v>45000</v>
      </c>
      <c r="K13" s="33">
        <f t="shared" si="5"/>
        <v>0</v>
      </c>
    </row>
    <row r="14" spans="1:11" s="9" customFormat="1" x14ac:dyDescent="0.25">
      <c r="A14" s="15">
        <v>7</v>
      </c>
      <c r="B14" s="29" t="s">
        <v>45</v>
      </c>
      <c r="C14" s="16" t="s">
        <v>725</v>
      </c>
      <c r="D14" s="10"/>
      <c r="E14" s="10">
        <f>+Mayores!$E$28</f>
        <v>377500</v>
      </c>
      <c r="F14" s="11" t="str">
        <f t="shared" si="0"/>
        <v/>
      </c>
      <c r="G14" s="11">
        <f t="shared" si="1"/>
        <v>377500</v>
      </c>
      <c r="H14" s="31">
        <f t="shared" si="2"/>
        <v>0</v>
      </c>
      <c r="I14" s="31">
        <f t="shared" si="3"/>
        <v>0</v>
      </c>
      <c r="J14" s="33">
        <f t="shared" si="4"/>
        <v>0</v>
      </c>
      <c r="K14" s="33">
        <f t="shared" si="5"/>
        <v>377500</v>
      </c>
    </row>
    <row r="15" spans="1:11" s="9" customFormat="1" x14ac:dyDescent="0.25">
      <c r="A15" s="15">
        <v>8</v>
      </c>
      <c r="B15" s="29" t="s">
        <v>580</v>
      </c>
      <c r="C15" s="16" t="s">
        <v>725</v>
      </c>
      <c r="D15" s="10"/>
      <c r="E15" s="10">
        <f>+Mayores!$H$28</f>
        <v>350000</v>
      </c>
      <c r="F15" s="11" t="str">
        <f t="shared" si="0"/>
        <v/>
      </c>
      <c r="G15" s="11">
        <f t="shared" si="1"/>
        <v>350000</v>
      </c>
      <c r="H15" s="31">
        <f t="shared" si="2"/>
        <v>0</v>
      </c>
      <c r="I15" s="31">
        <f t="shared" si="3"/>
        <v>0</v>
      </c>
      <c r="J15" s="33">
        <f t="shared" si="4"/>
        <v>0</v>
      </c>
      <c r="K15" s="33">
        <f t="shared" si="5"/>
        <v>350000</v>
      </c>
    </row>
    <row r="16" spans="1:11" s="9" customFormat="1" x14ac:dyDescent="0.25">
      <c r="A16" s="15">
        <v>9</v>
      </c>
      <c r="B16" s="29" t="s">
        <v>3</v>
      </c>
      <c r="C16" s="16" t="s">
        <v>727</v>
      </c>
      <c r="D16" s="10"/>
      <c r="E16" s="10">
        <f>+Mayores!$K$28</f>
        <v>166000</v>
      </c>
      <c r="F16" s="11" t="str">
        <f t="shared" si="0"/>
        <v/>
      </c>
      <c r="G16" s="11">
        <f t="shared" si="1"/>
        <v>166000</v>
      </c>
      <c r="H16" s="31">
        <f t="shared" si="2"/>
        <v>0</v>
      </c>
      <c r="I16" s="31">
        <f t="shared" si="3"/>
        <v>0</v>
      </c>
      <c r="J16" s="33">
        <f t="shared" si="4"/>
        <v>0</v>
      </c>
      <c r="K16" s="33">
        <f t="shared" si="5"/>
        <v>166000</v>
      </c>
    </row>
    <row r="17" spans="1:11" s="9" customFormat="1" x14ac:dyDescent="0.25">
      <c r="A17" s="15">
        <v>10</v>
      </c>
      <c r="B17" s="29" t="s">
        <v>718</v>
      </c>
      <c r="C17" s="16" t="s">
        <v>724</v>
      </c>
      <c r="D17" s="10">
        <f>+Mayores!$M$28</f>
        <v>3045</v>
      </c>
      <c r="E17" s="10"/>
      <c r="F17" s="11">
        <f t="shared" si="0"/>
        <v>3045</v>
      </c>
      <c r="G17" s="11" t="str">
        <f t="shared" si="1"/>
        <v/>
      </c>
      <c r="H17" s="31">
        <f t="shared" si="2"/>
        <v>3045</v>
      </c>
      <c r="I17" s="31">
        <f t="shared" si="3"/>
        <v>0</v>
      </c>
      <c r="J17" s="33">
        <f t="shared" si="4"/>
        <v>0</v>
      </c>
      <c r="K17" s="33">
        <f t="shared" si="5"/>
        <v>0</v>
      </c>
    </row>
    <row r="18" spans="1:11" s="9" customFormat="1" x14ac:dyDescent="0.25">
      <c r="A18" s="15">
        <v>11</v>
      </c>
      <c r="B18" s="29" t="s">
        <v>25</v>
      </c>
      <c r="C18" s="16" t="s">
        <v>723</v>
      </c>
      <c r="D18" s="10">
        <f>+Mayores!$A$43</f>
        <v>108641.78</v>
      </c>
      <c r="E18" s="10">
        <f>Mayores!B43</f>
        <v>108641.78</v>
      </c>
      <c r="F18" s="11" t="str">
        <f t="shared" si="0"/>
        <v/>
      </c>
      <c r="G18" s="11" t="str">
        <f t="shared" si="1"/>
        <v/>
      </c>
      <c r="H18" s="31">
        <f t="shared" si="2"/>
        <v>0</v>
      </c>
      <c r="I18" s="31">
        <f t="shared" si="3"/>
        <v>0</v>
      </c>
      <c r="J18" s="33" t="str">
        <f t="shared" si="4"/>
        <v/>
      </c>
      <c r="K18" s="33">
        <f t="shared" si="5"/>
        <v>0</v>
      </c>
    </row>
    <row r="19" spans="1:11" s="9" customFormat="1" x14ac:dyDescent="0.25">
      <c r="A19" s="15">
        <v>13</v>
      </c>
      <c r="B19" s="29" t="s">
        <v>47</v>
      </c>
      <c r="C19" s="16" t="s">
        <v>723</v>
      </c>
      <c r="D19" s="10">
        <f>+Mayores!$G$42</f>
        <v>274752</v>
      </c>
      <c r="E19" s="10">
        <f>+Mayores!$H$42</f>
        <v>48650</v>
      </c>
      <c r="F19" s="11">
        <f t="shared" si="0"/>
        <v>226102</v>
      </c>
      <c r="G19" s="11" t="str">
        <f t="shared" si="1"/>
        <v/>
      </c>
      <c r="H19" s="31">
        <f t="shared" si="2"/>
        <v>0</v>
      </c>
      <c r="I19" s="31">
        <f t="shared" si="3"/>
        <v>0</v>
      </c>
      <c r="J19" s="33">
        <f t="shared" si="4"/>
        <v>226102</v>
      </c>
      <c r="K19" s="33">
        <f t="shared" si="5"/>
        <v>0</v>
      </c>
    </row>
    <row r="20" spans="1:11" s="9" customFormat="1" x14ac:dyDescent="0.25">
      <c r="A20" s="15">
        <v>14</v>
      </c>
      <c r="B20" s="29" t="s">
        <v>46</v>
      </c>
      <c r="C20" s="16" t="s">
        <v>724</v>
      </c>
      <c r="D20" s="10">
        <f>+Mayores!$J$40</f>
        <v>30886.2</v>
      </c>
      <c r="E20" s="10"/>
      <c r="F20" s="11">
        <f t="shared" si="0"/>
        <v>30886.2</v>
      </c>
      <c r="G20" s="11" t="str">
        <f t="shared" si="1"/>
        <v/>
      </c>
      <c r="H20" s="31">
        <f t="shared" si="2"/>
        <v>30886.2</v>
      </c>
      <c r="I20" s="31">
        <f t="shared" si="3"/>
        <v>0</v>
      </c>
      <c r="J20" s="33">
        <f t="shared" si="4"/>
        <v>0</v>
      </c>
      <c r="K20" s="33">
        <f t="shared" si="5"/>
        <v>0</v>
      </c>
    </row>
    <row r="21" spans="1:11" s="9" customFormat="1" x14ac:dyDescent="0.25">
      <c r="A21" s="15">
        <v>15</v>
      </c>
      <c r="B21" s="29" t="s">
        <v>14</v>
      </c>
      <c r="C21" s="16" t="s">
        <v>726</v>
      </c>
      <c r="D21" s="10"/>
      <c r="E21" s="10">
        <f>+Mayores!$N$43</f>
        <v>895699.8</v>
      </c>
      <c r="F21" s="11" t="str">
        <f t="shared" si="0"/>
        <v/>
      </c>
      <c r="G21" s="11">
        <f t="shared" si="1"/>
        <v>895699.8</v>
      </c>
      <c r="H21" s="31">
        <f t="shared" si="2"/>
        <v>0</v>
      </c>
      <c r="I21" s="31">
        <f t="shared" si="3"/>
        <v>895699.8</v>
      </c>
      <c r="J21" s="33">
        <f t="shared" si="4"/>
        <v>0</v>
      </c>
      <c r="K21" s="33">
        <f t="shared" si="5"/>
        <v>0</v>
      </c>
    </row>
    <row r="22" spans="1:11" s="9" customFormat="1" x14ac:dyDescent="0.25">
      <c r="A22" s="15">
        <v>16</v>
      </c>
      <c r="B22" s="29" t="s">
        <v>15</v>
      </c>
      <c r="C22" s="16" t="s">
        <v>725</v>
      </c>
      <c r="D22" s="10">
        <f>Mayores!A56</f>
        <v>133840.20000000001</v>
      </c>
      <c r="E22" s="10">
        <f>+Mayores!$B$56</f>
        <v>133840.20000000001</v>
      </c>
      <c r="F22" s="11" t="str">
        <f t="shared" si="0"/>
        <v/>
      </c>
      <c r="G22" s="11" t="str">
        <f t="shared" si="1"/>
        <v/>
      </c>
      <c r="H22" s="31">
        <f t="shared" si="2"/>
        <v>0</v>
      </c>
      <c r="I22" s="31">
        <f t="shared" si="3"/>
        <v>0</v>
      </c>
      <c r="J22" s="33">
        <f t="shared" si="4"/>
        <v>0</v>
      </c>
      <c r="K22" s="33" t="str">
        <f t="shared" si="5"/>
        <v/>
      </c>
    </row>
    <row r="23" spans="1:11" s="9" customFormat="1" x14ac:dyDescent="0.25">
      <c r="A23" s="15">
        <v>17</v>
      </c>
      <c r="B23" s="29" t="s">
        <v>581</v>
      </c>
      <c r="C23" s="16" t="s">
        <v>725</v>
      </c>
      <c r="D23" s="10"/>
      <c r="E23" s="10">
        <f>+Mayores!$E$56</f>
        <v>30886.2</v>
      </c>
      <c r="F23" s="11" t="str">
        <f t="shared" si="0"/>
        <v/>
      </c>
      <c r="G23" s="11">
        <f t="shared" si="1"/>
        <v>30886.2</v>
      </c>
      <c r="H23" s="31">
        <f t="shared" si="2"/>
        <v>0</v>
      </c>
      <c r="I23" s="31">
        <f t="shared" si="3"/>
        <v>0</v>
      </c>
      <c r="J23" s="33">
        <f t="shared" si="4"/>
        <v>0</v>
      </c>
      <c r="K23" s="33">
        <f t="shared" si="5"/>
        <v>30886.2</v>
      </c>
    </row>
    <row r="24" spans="1:11" s="9" customFormat="1" x14ac:dyDescent="0.25">
      <c r="A24" s="15">
        <v>18</v>
      </c>
      <c r="B24" s="29" t="s">
        <v>626</v>
      </c>
      <c r="C24" s="16" t="s">
        <v>723</v>
      </c>
      <c r="D24" s="10">
        <f>+Mayores!$G$56</f>
        <v>826.5</v>
      </c>
      <c r="E24" s="10"/>
      <c r="F24" s="11">
        <f t="shared" si="0"/>
        <v>826.5</v>
      </c>
      <c r="G24" s="11" t="str">
        <f t="shared" si="1"/>
        <v/>
      </c>
      <c r="H24" s="31">
        <f t="shared" si="2"/>
        <v>0</v>
      </c>
      <c r="I24" s="31">
        <f t="shared" si="3"/>
        <v>0</v>
      </c>
      <c r="J24" s="33">
        <f t="shared" si="4"/>
        <v>826.5</v>
      </c>
      <c r="K24" s="33">
        <f t="shared" si="5"/>
        <v>0</v>
      </c>
    </row>
    <row r="25" spans="1:11" s="9" customFormat="1" x14ac:dyDescent="0.25">
      <c r="A25" s="15">
        <v>19</v>
      </c>
      <c r="B25" s="29" t="s">
        <v>639</v>
      </c>
      <c r="C25" s="16" t="s">
        <v>723</v>
      </c>
      <c r="D25" s="10">
        <f>+Mayores!$J$56</f>
        <v>4350</v>
      </c>
      <c r="E25" s="10"/>
      <c r="F25" s="11">
        <f t="shared" si="0"/>
        <v>4350</v>
      </c>
      <c r="G25" s="11" t="str">
        <f t="shared" si="1"/>
        <v/>
      </c>
      <c r="H25" s="31">
        <f t="shared" si="2"/>
        <v>0</v>
      </c>
      <c r="I25" s="31">
        <f t="shared" si="3"/>
        <v>0</v>
      </c>
      <c r="J25" s="33">
        <f t="shared" si="4"/>
        <v>4350</v>
      </c>
      <c r="K25" s="33">
        <f t="shared" si="5"/>
        <v>0</v>
      </c>
    </row>
    <row r="26" spans="1:11" s="9" customFormat="1" x14ac:dyDescent="0.25">
      <c r="A26" s="15">
        <v>20</v>
      </c>
      <c r="B26" s="29" t="s">
        <v>641</v>
      </c>
      <c r="C26" s="16" t="s">
        <v>724</v>
      </c>
      <c r="D26" s="10">
        <f>+Mayores!$A$69</f>
        <v>285550</v>
      </c>
      <c r="E26" s="10"/>
      <c r="F26" s="11">
        <f t="shared" si="0"/>
        <v>285550</v>
      </c>
      <c r="G26" s="11" t="str">
        <f t="shared" si="1"/>
        <v/>
      </c>
      <c r="H26" s="31">
        <f t="shared" si="2"/>
        <v>285550</v>
      </c>
      <c r="I26" s="31">
        <f t="shared" si="3"/>
        <v>0</v>
      </c>
      <c r="J26" s="33">
        <f t="shared" si="4"/>
        <v>0</v>
      </c>
      <c r="K26" s="33">
        <f t="shared" si="5"/>
        <v>0</v>
      </c>
    </row>
    <row r="27" spans="1:11" s="9" customFormat="1" x14ac:dyDescent="0.25">
      <c r="A27" s="15">
        <v>21</v>
      </c>
      <c r="B27" s="29" t="s">
        <v>603</v>
      </c>
      <c r="C27" s="16" t="s">
        <v>725</v>
      </c>
      <c r="D27" s="10"/>
      <c r="E27" s="10">
        <f>+Mayores!$E$69</f>
        <v>70702.552500000005</v>
      </c>
      <c r="F27" s="11" t="str">
        <f t="shared" si="0"/>
        <v/>
      </c>
      <c r="G27" s="11">
        <f t="shared" si="1"/>
        <v>70702.552500000005</v>
      </c>
      <c r="H27" s="31">
        <f t="shared" si="2"/>
        <v>0</v>
      </c>
      <c r="I27" s="31">
        <f t="shared" si="3"/>
        <v>0</v>
      </c>
      <c r="J27" s="33">
        <f t="shared" si="4"/>
        <v>0</v>
      </c>
      <c r="K27" s="33">
        <f t="shared" si="5"/>
        <v>70702.552500000005</v>
      </c>
    </row>
    <row r="28" spans="1:11" s="9" customFormat="1" x14ac:dyDescent="0.25">
      <c r="A28" s="15">
        <v>22</v>
      </c>
      <c r="B28" s="29" t="s">
        <v>719</v>
      </c>
      <c r="C28" s="16" t="s">
        <v>724</v>
      </c>
      <c r="D28" s="10">
        <f>+Mayores!$G$69</f>
        <v>37326.052500000005</v>
      </c>
      <c r="E28" s="10"/>
      <c r="F28" s="11">
        <f t="shared" si="0"/>
        <v>37326.052500000005</v>
      </c>
      <c r="G28" s="11" t="str">
        <f t="shared" si="1"/>
        <v/>
      </c>
      <c r="H28" s="31">
        <f t="shared" si="2"/>
        <v>37326.052500000005</v>
      </c>
      <c r="I28" s="31">
        <f t="shared" si="3"/>
        <v>0</v>
      </c>
      <c r="J28" s="33">
        <f t="shared" si="4"/>
        <v>0</v>
      </c>
      <c r="K28" s="33">
        <f t="shared" si="5"/>
        <v>0</v>
      </c>
    </row>
    <row r="29" spans="1:11" s="9" customFormat="1" x14ac:dyDescent="0.25">
      <c r="A29" s="15">
        <v>23</v>
      </c>
      <c r="B29" s="29" t="s">
        <v>643</v>
      </c>
      <c r="C29" s="16" t="s">
        <v>724</v>
      </c>
      <c r="D29" s="10">
        <f>+Mayores!$J$69</f>
        <v>55627.5</v>
      </c>
      <c r="E29" s="10"/>
      <c r="F29" s="11">
        <f t="shared" si="0"/>
        <v>55627.5</v>
      </c>
      <c r="G29" s="11" t="str">
        <f t="shared" si="1"/>
        <v/>
      </c>
      <c r="H29" s="31">
        <f t="shared" si="2"/>
        <v>55627.5</v>
      </c>
      <c r="I29" s="31">
        <f t="shared" si="3"/>
        <v>0</v>
      </c>
      <c r="J29" s="33">
        <f t="shared" si="4"/>
        <v>0</v>
      </c>
      <c r="K29" s="33">
        <f t="shared" si="5"/>
        <v>0</v>
      </c>
    </row>
    <row r="30" spans="1:11" s="9" customFormat="1" x14ac:dyDescent="0.25">
      <c r="A30" s="15">
        <v>24</v>
      </c>
      <c r="B30" s="29" t="s">
        <v>644</v>
      </c>
      <c r="C30" s="16" t="s">
        <v>724</v>
      </c>
      <c r="D30" s="10">
        <f>+Mayores!$M$69</f>
        <v>58015.246666666673</v>
      </c>
      <c r="E30" s="10"/>
      <c r="F30" s="11">
        <f t="shared" si="0"/>
        <v>58015.246666666673</v>
      </c>
      <c r="G30" s="11" t="str">
        <f t="shared" si="1"/>
        <v/>
      </c>
      <c r="H30" s="31">
        <f t="shared" si="2"/>
        <v>58015.246666666673</v>
      </c>
      <c r="I30" s="31">
        <f t="shared" si="3"/>
        <v>0</v>
      </c>
      <c r="J30" s="33">
        <f t="shared" si="4"/>
        <v>0</v>
      </c>
      <c r="K30" s="33">
        <f t="shared" si="5"/>
        <v>0</v>
      </c>
    </row>
    <row r="31" spans="1:11" s="9" customFormat="1" x14ac:dyDescent="0.25">
      <c r="A31" s="15">
        <v>25</v>
      </c>
      <c r="B31" s="29" t="s">
        <v>645</v>
      </c>
      <c r="C31" s="16" t="s">
        <v>724</v>
      </c>
      <c r="D31" s="10">
        <f>+Mayores!$A$83</f>
        <v>58015.246666666673</v>
      </c>
      <c r="E31" s="10"/>
      <c r="F31" s="11">
        <f t="shared" si="0"/>
        <v>58015.246666666673</v>
      </c>
      <c r="G31" s="11" t="str">
        <f t="shared" si="1"/>
        <v/>
      </c>
      <c r="H31" s="31">
        <f t="shared" si="2"/>
        <v>58015.246666666673</v>
      </c>
      <c r="I31" s="31">
        <f t="shared" si="3"/>
        <v>0</v>
      </c>
      <c r="J31" s="33">
        <f t="shared" si="4"/>
        <v>0</v>
      </c>
      <c r="K31" s="33">
        <f t="shared" si="5"/>
        <v>0</v>
      </c>
    </row>
    <row r="32" spans="1:11" s="9" customFormat="1" x14ac:dyDescent="0.25">
      <c r="A32" s="15">
        <v>26</v>
      </c>
      <c r="B32" s="29" t="s">
        <v>646</v>
      </c>
      <c r="C32" s="16" t="s">
        <v>724</v>
      </c>
      <c r="D32" s="10">
        <f>+Mayores!$D$83</f>
        <v>58015.246666666673</v>
      </c>
      <c r="E32" s="10"/>
      <c r="F32" s="11">
        <f t="shared" si="0"/>
        <v>58015.246666666673</v>
      </c>
      <c r="G32" s="11" t="str">
        <f t="shared" si="1"/>
        <v/>
      </c>
      <c r="H32" s="31">
        <f t="shared" si="2"/>
        <v>58015.246666666673</v>
      </c>
      <c r="I32" s="31">
        <f t="shared" si="3"/>
        <v>0</v>
      </c>
      <c r="J32" s="33">
        <f t="shared" si="4"/>
        <v>0</v>
      </c>
      <c r="K32" s="33">
        <f t="shared" si="5"/>
        <v>0</v>
      </c>
    </row>
    <row r="33" spans="1:11" s="9" customFormat="1" x14ac:dyDescent="0.25">
      <c r="A33" s="15">
        <v>27</v>
      </c>
      <c r="B33" s="29" t="s">
        <v>720</v>
      </c>
      <c r="C33" s="16" t="s">
        <v>725</v>
      </c>
      <c r="D33" s="10">
        <f>Mayores!G12</f>
        <v>0</v>
      </c>
      <c r="E33" s="10">
        <f>+Mayores!$H$83</f>
        <v>37326.052500000005</v>
      </c>
      <c r="F33" s="11" t="str">
        <f t="shared" si="0"/>
        <v/>
      </c>
      <c r="G33" s="11">
        <f t="shared" si="1"/>
        <v>37326.052500000005</v>
      </c>
      <c r="H33" s="31">
        <f t="shared" si="2"/>
        <v>0</v>
      </c>
      <c r="I33" s="31">
        <f t="shared" si="3"/>
        <v>0</v>
      </c>
      <c r="J33" s="33">
        <f t="shared" si="4"/>
        <v>0</v>
      </c>
      <c r="K33" s="33">
        <f t="shared" si="5"/>
        <v>37326.052500000005</v>
      </c>
    </row>
    <row r="34" spans="1:11" s="9" customFormat="1" x14ac:dyDescent="0.25">
      <c r="A34" s="15">
        <v>28</v>
      </c>
      <c r="B34" s="29" t="s">
        <v>649</v>
      </c>
      <c r="C34" s="16" t="s">
        <v>725</v>
      </c>
      <c r="D34" s="10">
        <f>Mayores!J9</f>
        <v>0</v>
      </c>
      <c r="E34" s="10">
        <f>+Mayores!$K$83</f>
        <v>55627.5</v>
      </c>
      <c r="F34" s="11" t="str">
        <f t="shared" si="0"/>
        <v/>
      </c>
      <c r="G34" s="11">
        <f t="shared" si="1"/>
        <v>55627.5</v>
      </c>
      <c r="H34" s="31">
        <f t="shared" si="2"/>
        <v>0</v>
      </c>
      <c r="I34" s="31">
        <f t="shared" si="3"/>
        <v>0</v>
      </c>
      <c r="J34" s="33">
        <f t="shared" si="4"/>
        <v>0</v>
      </c>
      <c r="K34" s="33">
        <f t="shared" si="5"/>
        <v>55627.5</v>
      </c>
    </row>
    <row r="35" spans="1:11" s="9" customFormat="1" x14ac:dyDescent="0.25">
      <c r="A35" s="15">
        <v>29</v>
      </c>
      <c r="B35" s="29" t="s">
        <v>721</v>
      </c>
      <c r="C35" s="16" t="s">
        <v>725</v>
      </c>
      <c r="D35" s="10">
        <f>Mayores!M9</f>
        <v>0</v>
      </c>
      <c r="E35" s="10">
        <f>+Mayores!$N$83</f>
        <v>58015.246666666673</v>
      </c>
      <c r="F35" s="11" t="str">
        <f t="shared" si="0"/>
        <v/>
      </c>
      <c r="G35" s="11">
        <f t="shared" si="1"/>
        <v>58015.246666666673</v>
      </c>
      <c r="H35" s="31">
        <f t="shared" si="2"/>
        <v>0</v>
      </c>
      <c r="I35" s="31">
        <f t="shared" si="3"/>
        <v>0</v>
      </c>
      <c r="J35" s="33">
        <f t="shared" si="4"/>
        <v>0</v>
      </c>
      <c r="K35" s="33">
        <f t="shared" si="5"/>
        <v>58015.246666666673</v>
      </c>
    </row>
    <row r="36" spans="1:11" s="9" customFormat="1" x14ac:dyDescent="0.25">
      <c r="A36" s="15">
        <v>30</v>
      </c>
      <c r="B36" s="29" t="s">
        <v>722</v>
      </c>
      <c r="C36" s="16" t="s">
        <v>725</v>
      </c>
      <c r="D36" s="10"/>
      <c r="E36" s="10">
        <f>+Mayores!$B$97</f>
        <v>58015.246666666673</v>
      </c>
      <c r="F36" s="11" t="str">
        <f t="shared" si="0"/>
        <v/>
      </c>
      <c r="G36" s="11">
        <f t="shared" si="1"/>
        <v>58015.246666666673</v>
      </c>
      <c r="H36" s="31">
        <f t="shared" si="2"/>
        <v>0</v>
      </c>
      <c r="I36" s="31">
        <f t="shared" si="3"/>
        <v>0</v>
      </c>
      <c r="J36" s="33">
        <f t="shared" si="4"/>
        <v>0</v>
      </c>
      <c r="K36" s="33">
        <f t="shared" si="5"/>
        <v>58015.246666666673</v>
      </c>
    </row>
    <row r="37" spans="1:11" s="9" customFormat="1" x14ac:dyDescent="0.25">
      <c r="A37" s="15">
        <v>31</v>
      </c>
      <c r="B37" s="29" t="s">
        <v>23</v>
      </c>
      <c r="C37" s="16" t="s">
        <v>725</v>
      </c>
      <c r="D37" s="10">
        <f>Mayores!D21</f>
        <v>0</v>
      </c>
      <c r="E37" s="10">
        <f>+Mayores!$E$97</f>
        <v>58015.246666666673</v>
      </c>
      <c r="F37" s="11" t="str">
        <f t="shared" si="0"/>
        <v/>
      </c>
      <c r="G37" s="11">
        <f t="shared" si="1"/>
        <v>58015.246666666673</v>
      </c>
      <c r="H37" s="31">
        <f t="shared" si="2"/>
        <v>0</v>
      </c>
      <c r="I37" s="31">
        <f t="shared" si="3"/>
        <v>0</v>
      </c>
      <c r="J37" s="33">
        <f t="shared" si="4"/>
        <v>0</v>
      </c>
      <c r="K37" s="33">
        <f t="shared" si="5"/>
        <v>58015.246666666673</v>
      </c>
    </row>
    <row r="38" spans="1:11" s="9" customFormat="1" x14ac:dyDescent="0.25">
      <c r="A38" s="15">
        <v>32</v>
      </c>
      <c r="B38" s="29" t="s">
        <v>660</v>
      </c>
      <c r="C38" s="16" t="s">
        <v>724</v>
      </c>
      <c r="D38" s="10">
        <f>+Mayores!$G$97</f>
        <v>8700</v>
      </c>
      <c r="E38" s="10">
        <f>Mayores!H19</f>
        <v>0</v>
      </c>
      <c r="F38" s="11">
        <f t="shared" si="0"/>
        <v>8700</v>
      </c>
      <c r="G38" s="11" t="str">
        <f t="shared" si="1"/>
        <v/>
      </c>
      <c r="H38" s="31">
        <f t="shared" si="2"/>
        <v>8700</v>
      </c>
      <c r="I38" s="31">
        <f t="shared" si="3"/>
        <v>0</v>
      </c>
      <c r="J38" s="33">
        <f t="shared" si="4"/>
        <v>0</v>
      </c>
      <c r="K38" s="33">
        <f t="shared" si="5"/>
        <v>0</v>
      </c>
    </row>
    <row r="39" spans="1:11" s="9" customFormat="1" x14ac:dyDescent="0.25">
      <c r="A39" s="15">
        <v>33</v>
      </c>
      <c r="B39" s="29" t="s">
        <v>668</v>
      </c>
      <c r="C39" s="16" t="s">
        <v>724</v>
      </c>
      <c r="D39" s="10">
        <f>+Mayores!$J$97</f>
        <v>2832.72</v>
      </c>
      <c r="E39" s="10">
        <f>Mayores!K25</f>
        <v>0</v>
      </c>
      <c r="F39" s="11">
        <f t="shared" si="0"/>
        <v>2832.72</v>
      </c>
      <c r="G39" s="11" t="str">
        <f t="shared" si="1"/>
        <v/>
      </c>
      <c r="H39" s="31">
        <f t="shared" si="2"/>
        <v>2832.72</v>
      </c>
      <c r="I39" s="31">
        <f t="shared" si="3"/>
        <v>0</v>
      </c>
      <c r="J39" s="33">
        <f t="shared" si="4"/>
        <v>0</v>
      </c>
      <c r="K39" s="33">
        <f t="shared" si="5"/>
        <v>0</v>
      </c>
    </row>
    <row r="40" spans="1:11" s="9" customFormat="1" x14ac:dyDescent="0.25">
      <c r="A40" s="15">
        <v>34</v>
      </c>
      <c r="B40" s="29" t="s">
        <v>664</v>
      </c>
      <c r="C40" s="16" t="s">
        <v>724</v>
      </c>
      <c r="D40" s="10">
        <f>+Mayores!$M$97</f>
        <v>270725</v>
      </c>
      <c r="E40" s="10"/>
      <c r="F40" s="11">
        <f t="shared" si="0"/>
        <v>270725</v>
      </c>
      <c r="G40" s="11" t="str">
        <f t="shared" si="1"/>
        <v/>
      </c>
      <c r="H40" s="31">
        <f t="shared" si="2"/>
        <v>270725</v>
      </c>
      <c r="I40" s="31">
        <f t="shared" si="3"/>
        <v>0</v>
      </c>
      <c r="J40" s="33">
        <f t="shared" si="4"/>
        <v>0</v>
      </c>
      <c r="K40" s="33">
        <f t="shared" si="5"/>
        <v>0</v>
      </c>
    </row>
    <row r="41" spans="1:11" x14ac:dyDescent="0.25">
      <c r="B41" s="12"/>
      <c r="C41" s="13"/>
      <c r="D41" s="14">
        <f>SUM(D8:D40)</f>
        <v>3592896.6925000004</v>
      </c>
      <c r="E41" s="14">
        <f>SUM(E8:E40)</f>
        <v>3592896.6925000004</v>
      </c>
      <c r="F41" s="14">
        <f>SUM(F8:F40)</f>
        <v>2157787.8449999997</v>
      </c>
      <c r="G41" s="14">
        <f>SUM(G8:G40)</f>
        <v>2157787.8449999997</v>
      </c>
      <c r="H41" s="34">
        <f>SUM(H8:H40)</f>
        <v>868738.21250000002</v>
      </c>
      <c r="I41" s="34">
        <f>SUM(I8:I40)</f>
        <v>895699.8</v>
      </c>
      <c r="J41" s="34">
        <f>SUM(J8:J40)</f>
        <v>1289049.6324999998</v>
      </c>
      <c r="K41" s="34">
        <f>SUM(K8:K40)</f>
        <v>1262088.0449999997</v>
      </c>
    </row>
    <row r="42" spans="1:11" x14ac:dyDescent="0.25">
      <c r="B42" s="150"/>
      <c r="C42" s="151"/>
      <c r="D42" s="151"/>
      <c r="E42" s="151"/>
      <c r="F42" s="151"/>
      <c r="G42" s="152"/>
      <c r="H42" s="35"/>
      <c r="I42" s="35">
        <f>I41-H41</f>
        <v>26961.587500000023</v>
      </c>
      <c r="J42" s="35">
        <f>J41-K41</f>
        <v>26961.58750000014</v>
      </c>
      <c r="K42" s="35"/>
    </row>
    <row r="43" spans="1:11" x14ac:dyDescent="0.25">
      <c r="B43" s="145"/>
      <c r="C43" s="146"/>
      <c r="D43" s="146"/>
      <c r="E43" s="146"/>
      <c r="F43" s="146"/>
      <c r="G43" s="147"/>
      <c r="H43" s="34">
        <f>SUM(H41:H42)</f>
        <v>868738.21250000002</v>
      </c>
      <c r="I43" s="34">
        <f>I41-I42</f>
        <v>868738.21250000002</v>
      </c>
      <c r="J43" s="34">
        <f>J41-J42</f>
        <v>1262088.0449999997</v>
      </c>
      <c r="K43" s="34">
        <f t="shared" ref="K43" si="6">SUM(K41:K42)</f>
        <v>1262088.0449999997</v>
      </c>
    </row>
    <row r="44" spans="1:11" x14ac:dyDescent="0.25">
      <c r="D44" s="4">
        <f>D41-E41</f>
        <v>0</v>
      </c>
    </row>
    <row r="48" spans="1:11" x14ac:dyDescent="0.25">
      <c r="D48"/>
    </row>
    <row r="49" spans="4:4" x14ac:dyDescent="0.25">
      <c r="D49"/>
    </row>
    <row r="50" spans="4:4" x14ac:dyDescent="0.25">
      <c r="D50"/>
    </row>
    <row r="51" spans="4:4" x14ac:dyDescent="0.25">
      <c r="D51"/>
    </row>
    <row r="52" spans="4:4" x14ac:dyDescent="0.25">
      <c r="D52"/>
    </row>
    <row r="53" spans="4:4" x14ac:dyDescent="0.25">
      <c r="D53"/>
    </row>
    <row r="54" spans="4:4" x14ac:dyDescent="0.25">
      <c r="D54"/>
    </row>
    <row r="55" spans="4:4" x14ac:dyDescent="0.25">
      <c r="D55"/>
    </row>
    <row r="56" spans="4:4" x14ac:dyDescent="0.25">
      <c r="D56"/>
    </row>
    <row r="57" spans="4:4" x14ac:dyDescent="0.25">
      <c r="D57"/>
    </row>
    <row r="58" spans="4:4" x14ac:dyDescent="0.25">
      <c r="D58"/>
    </row>
    <row r="59" spans="4:4" x14ac:dyDescent="0.25">
      <c r="D59"/>
    </row>
    <row r="60" spans="4:4" x14ac:dyDescent="0.25">
      <c r="D60"/>
    </row>
    <row r="61" spans="4:4" x14ac:dyDescent="0.25">
      <c r="D61"/>
    </row>
    <row r="62" spans="4:4" x14ac:dyDescent="0.25">
      <c r="D62"/>
    </row>
    <row r="63" spans="4:4" x14ac:dyDescent="0.25">
      <c r="D63"/>
    </row>
    <row r="64" spans="4:4" x14ac:dyDescent="0.25">
      <c r="D64"/>
    </row>
  </sheetData>
  <autoFilter ref="A6:K42" xr:uid="{00000000-0009-0000-0000-000006000000}">
    <filterColumn colId="3" showButton="0"/>
    <filterColumn colId="5" showButton="0"/>
    <filterColumn colId="7" showButton="0"/>
    <filterColumn colId="9" showButton="0"/>
  </autoFilter>
  <mergeCells count="12">
    <mergeCell ref="B43:G43"/>
    <mergeCell ref="H6:I6"/>
    <mergeCell ref="J6:K6"/>
    <mergeCell ref="B42:G42"/>
    <mergeCell ref="A2:K2"/>
    <mergeCell ref="A3:K3"/>
    <mergeCell ref="A4:K4"/>
    <mergeCell ref="A6:A7"/>
    <mergeCell ref="B6:B7"/>
    <mergeCell ref="C6:C7"/>
    <mergeCell ref="D6:E6"/>
    <mergeCell ref="F6:G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716A-A84C-41C4-8660-3F4E856B93B5}">
  <sheetPr>
    <tabColor rgb="FFFF0000"/>
  </sheetPr>
  <dimension ref="A1:D39"/>
  <sheetViews>
    <sheetView showGridLines="0" zoomScaleNormal="100" workbookViewId="0">
      <selection sqref="A1:D39"/>
    </sheetView>
  </sheetViews>
  <sheetFormatPr baseColWidth="10" defaultRowHeight="15" x14ac:dyDescent="0.25"/>
  <cols>
    <col min="1" max="1" width="3.140625" customWidth="1"/>
    <col min="2" max="2" width="35.42578125" customWidth="1"/>
    <col min="3" max="4" width="11.42578125" style="4"/>
  </cols>
  <sheetData>
    <row r="1" spans="1:4" x14ac:dyDescent="0.25">
      <c r="A1" s="26" t="s">
        <v>735</v>
      </c>
    </row>
    <row r="2" spans="1:4" ht="2.25" customHeight="1" x14ac:dyDescent="0.25"/>
    <row r="3" spans="1:4" x14ac:dyDescent="0.25">
      <c r="A3" s="125" t="s">
        <v>35</v>
      </c>
      <c r="B3" s="125"/>
      <c r="C3" s="125"/>
      <c r="D3" s="125"/>
    </row>
    <row r="4" spans="1:4" x14ac:dyDescent="0.25">
      <c r="A4" s="125" t="s">
        <v>600</v>
      </c>
      <c r="B4" s="125"/>
      <c r="C4" s="125"/>
      <c r="D4" s="125"/>
    </row>
    <row r="5" spans="1:4" x14ac:dyDescent="0.25">
      <c r="A5" s="125" t="s">
        <v>19</v>
      </c>
      <c r="B5" s="125"/>
      <c r="C5" s="125"/>
      <c r="D5" s="125"/>
    </row>
    <row r="6" spans="1:4" ht="6" customHeight="1" x14ac:dyDescent="0.25"/>
    <row r="7" spans="1:4" s="2" customFormat="1" x14ac:dyDescent="0.25">
      <c r="A7" s="2" t="s">
        <v>594</v>
      </c>
      <c r="C7" s="5"/>
      <c r="D7" s="5">
        <f>SUM(C8:C10)</f>
        <v>895699.8</v>
      </c>
    </row>
    <row r="8" spans="1:4" x14ac:dyDescent="0.25">
      <c r="B8" t="s">
        <v>593</v>
      </c>
      <c r="C8" s="4">
        <f>'HOJA DE TRABAJO'!G21</f>
        <v>895699.8</v>
      </c>
    </row>
    <row r="9" spans="1:4" x14ac:dyDescent="0.25">
      <c r="A9" t="s">
        <v>591</v>
      </c>
      <c r="B9" t="s">
        <v>592</v>
      </c>
      <c r="C9" s="4">
        <v>0</v>
      </c>
    </row>
    <row r="10" spans="1:4" x14ac:dyDescent="0.25">
      <c r="A10" t="s">
        <v>591</v>
      </c>
      <c r="B10" t="s">
        <v>590</v>
      </c>
      <c r="C10" s="6">
        <v>0</v>
      </c>
    </row>
    <row r="11" spans="1:4" ht="6.75" customHeight="1" x14ac:dyDescent="0.25"/>
    <row r="12" spans="1:4" s="2" customFormat="1" x14ac:dyDescent="0.25">
      <c r="A12" s="2" t="s">
        <v>589</v>
      </c>
      <c r="C12" s="5"/>
      <c r="D12" s="5">
        <v>0</v>
      </c>
    </row>
    <row r="13" spans="1:4" x14ac:dyDescent="0.25">
      <c r="B13" t="s">
        <v>588</v>
      </c>
      <c r="C13" s="6">
        <v>0</v>
      </c>
    </row>
    <row r="14" spans="1:4" ht="3.75" customHeight="1" x14ac:dyDescent="0.25">
      <c r="D14" s="6"/>
    </row>
    <row r="15" spans="1:4" s="23" customFormat="1" x14ac:dyDescent="0.25">
      <c r="B15" s="23" t="s">
        <v>587</v>
      </c>
      <c r="C15" s="25"/>
      <c r="D15" s="24">
        <f>+D7-D12</f>
        <v>895699.8</v>
      </c>
    </row>
    <row r="16" spans="1:4" ht="7.5" customHeight="1" x14ac:dyDescent="0.25">
      <c r="D16" s="5"/>
    </row>
    <row r="17" spans="1:4" x14ac:dyDescent="0.25">
      <c r="A17" s="2" t="s">
        <v>586</v>
      </c>
      <c r="D17" s="5">
        <f>SUM(C18:C28)</f>
        <v>868738.21250000002</v>
      </c>
    </row>
    <row r="18" spans="1:4" x14ac:dyDescent="0.25">
      <c r="B18" s="4" t="s">
        <v>604</v>
      </c>
      <c r="C18" s="4">
        <f>'HOJA DE TRABAJO'!F20</f>
        <v>30886.2</v>
      </c>
      <c r="D18" s="5"/>
    </row>
    <row r="19" spans="1:4" x14ac:dyDescent="0.25">
      <c r="B19" s="4" t="str">
        <f>'HOJA DE TRABAJO'!B17</f>
        <v>GASTOS LEGALES.NOTARIALES Y JUDICIALES</v>
      </c>
      <c r="C19" s="4">
        <f>'HOJA DE TRABAJO'!F17</f>
        <v>3045</v>
      </c>
      <c r="D19" s="5"/>
    </row>
    <row r="20" spans="1:4" x14ac:dyDescent="0.25">
      <c r="B20" s="4" t="str">
        <f>'HOJA DE TRABAJO'!B40</f>
        <v>SUELDOS Y SALARIOS</v>
      </c>
      <c r="C20" s="4">
        <f>'HOJA DE TRABAJO'!F40</f>
        <v>270725</v>
      </c>
      <c r="D20" s="5"/>
    </row>
    <row r="21" spans="1:4" x14ac:dyDescent="0.25">
      <c r="B21" s="4" t="str">
        <f>'HOJA DE TRABAJO'!B26</f>
        <v>COMISIONES</v>
      </c>
      <c r="C21" s="4">
        <f>'HOJA DE TRABAJO'!F26</f>
        <v>285550</v>
      </c>
      <c r="D21" s="5"/>
    </row>
    <row r="22" spans="1:4" x14ac:dyDescent="0.25">
      <c r="B22" s="4" t="str">
        <f>'HOJA DE TRABAJO'!B38</f>
        <v>PUBLICIDAD EN RADIO Y T.V.</v>
      </c>
      <c r="C22" s="4">
        <f>'HOJA DE TRABAJO'!F38</f>
        <v>8700</v>
      </c>
      <c r="D22" s="5"/>
    </row>
    <row r="23" spans="1:4" x14ac:dyDescent="0.25">
      <c r="B23" s="4" t="str">
        <f>'HOJA DE TRABAJO'!B39</f>
        <v>ENERGIA ELECTRICA</v>
      </c>
      <c r="C23" s="4">
        <f>'HOJA DE TRABAJO'!F39</f>
        <v>2832.72</v>
      </c>
      <c r="D23" s="5"/>
    </row>
    <row r="24" spans="1:4" x14ac:dyDescent="0.25">
      <c r="B24" s="4" t="str" cm="1">
        <f t="array" ref="B24:B28">'HOJA DE TRABAJO'!B28:B32</f>
        <v>APORTE PATRONALES GESTORA</v>
      </c>
      <c r="C24" s="4" cm="1">
        <f t="array" ref="C24:C28">'HOJA DE TRABAJO'!F28:F32</f>
        <v>37326.052500000005</v>
      </c>
      <c r="D24" s="5"/>
    </row>
    <row r="25" spans="1:4" x14ac:dyDescent="0.25">
      <c r="B25" s="4" t="str">
        <v>CAJA DE SALUD</v>
      </c>
      <c r="C25" s="4">
        <v>55627.5</v>
      </c>
      <c r="D25" s="5"/>
    </row>
    <row r="26" spans="1:4" x14ac:dyDescent="0.25">
      <c r="B26" s="4" t="str">
        <v>AGUINALDOS</v>
      </c>
      <c r="C26" s="4">
        <v>58015.246666666673</v>
      </c>
      <c r="D26" s="5"/>
    </row>
    <row r="27" spans="1:4" x14ac:dyDescent="0.25">
      <c r="B27" s="4" t="str">
        <v>INDEMNIZACION</v>
      </c>
      <c r="C27" s="4">
        <v>58015.246666666673</v>
      </c>
      <c r="D27" s="5"/>
    </row>
    <row r="28" spans="1:4" x14ac:dyDescent="0.25">
      <c r="B28" s="4" t="str">
        <v>PRIMAS</v>
      </c>
      <c r="C28" s="4">
        <v>58015.246666666673</v>
      </c>
      <c r="D28" s="5"/>
    </row>
    <row r="29" spans="1:4" x14ac:dyDescent="0.25">
      <c r="B29" s="4"/>
      <c r="D29" s="5"/>
    </row>
    <row r="30" spans="1:4" ht="5.25" customHeight="1" x14ac:dyDescent="0.25">
      <c r="D30" s="22"/>
    </row>
    <row r="31" spans="1:4" x14ac:dyDescent="0.25">
      <c r="B31" s="9" t="s">
        <v>597</v>
      </c>
      <c r="D31" s="5">
        <f>D15-D17</f>
        <v>26961.587500000023</v>
      </c>
    </row>
    <row r="32" spans="1:4" ht="6.75" customHeight="1" x14ac:dyDescent="0.25">
      <c r="D32" s="5"/>
    </row>
    <row r="33" spans="2:4" ht="7.5" customHeight="1" x14ac:dyDescent="0.25"/>
    <row r="34" spans="2:4" ht="15.75" thickBot="1" x14ac:dyDescent="0.3">
      <c r="B34" s="9" t="s">
        <v>598</v>
      </c>
      <c r="D34" s="21">
        <f>D31</f>
        <v>26961.587500000023</v>
      </c>
    </row>
    <row r="35" spans="2:4" ht="15.75" thickTop="1" x14ac:dyDescent="0.25"/>
    <row r="39" spans="2:4" x14ac:dyDescent="0.25">
      <c r="B39" s="2" t="s">
        <v>585</v>
      </c>
      <c r="C39" s="5" t="s">
        <v>584</v>
      </c>
    </row>
  </sheetData>
  <mergeCells count="3">
    <mergeCell ref="A3:D3"/>
    <mergeCell ref="A4:D4"/>
    <mergeCell ref="A5:D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5CFD-81F5-45E8-9651-1CA8AC913EC5}">
  <sheetPr>
    <tabColor rgb="FFFF0000"/>
  </sheetPr>
  <dimension ref="A1:D47"/>
  <sheetViews>
    <sheetView showGridLines="0" tabSelected="1" topLeftCell="A17" zoomScale="115" zoomScaleNormal="115" workbookViewId="0">
      <selection activeCell="A2" sqref="A2"/>
    </sheetView>
  </sheetViews>
  <sheetFormatPr baseColWidth="10" defaultRowHeight="15" x14ac:dyDescent="0.25"/>
  <cols>
    <col min="1" max="1" width="2" customWidth="1"/>
    <col min="2" max="2" width="47.5703125" customWidth="1"/>
    <col min="3" max="3" width="13" style="4" customWidth="1"/>
    <col min="4" max="4" width="15.85546875" style="4" customWidth="1"/>
  </cols>
  <sheetData>
    <row r="1" spans="1:4" x14ac:dyDescent="0.25">
      <c r="A1" s="26" t="s">
        <v>739</v>
      </c>
    </row>
    <row r="2" spans="1:4" ht="2.25" customHeight="1" x14ac:dyDescent="0.25"/>
    <row r="3" spans="1:4" x14ac:dyDescent="0.25">
      <c r="A3" s="125" t="s">
        <v>36</v>
      </c>
      <c r="B3" s="125"/>
      <c r="C3" s="125"/>
      <c r="D3" s="125"/>
    </row>
    <row r="4" spans="1:4" x14ac:dyDescent="0.25">
      <c r="A4" s="125" t="s">
        <v>601</v>
      </c>
      <c r="B4" s="125"/>
      <c r="C4" s="125"/>
      <c r="D4" s="125"/>
    </row>
    <row r="5" spans="1:4" x14ac:dyDescent="0.25">
      <c r="A5" s="125" t="s">
        <v>19</v>
      </c>
      <c r="B5" s="125"/>
      <c r="C5" s="125"/>
      <c r="D5" s="125"/>
    </row>
    <row r="6" spans="1:4" ht="6" customHeight="1" x14ac:dyDescent="0.25"/>
    <row r="7" spans="1:4" s="2" customFormat="1" x14ac:dyDescent="0.25">
      <c r="A7" s="2" t="s">
        <v>0</v>
      </c>
      <c r="C7" s="5"/>
      <c r="D7" s="5"/>
    </row>
    <row r="8" spans="1:4" s="2" customFormat="1" x14ac:dyDescent="0.25">
      <c r="B8" s="2" t="s">
        <v>40</v>
      </c>
      <c r="C8" s="5"/>
      <c r="D8" s="5">
        <f>SUM(C9:C13)</f>
        <v>1224263.1324999998</v>
      </c>
    </row>
    <row r="9" spans="1:4" x14ac:dyDescent="0.25">
      <c r="B9" t="s">
        <v>596</v>
      </c>
      <c r="C9" s="4">
        <f>'HOJA DE TRABAJO'!F9</f>
        <v>9252</v>
      </c>
    </row>
    <row r="10" spans="1:4" x14ac:dyDescent="0.25">
      <c r="B10" s="4" t="s">
        <v>22</v>
      </c>
      <c r="C10" s="4">
        <f>'HOJA DE TRABAJO'!F8</f>
        <v>145209.13249999995</v>
      </c>
    </row>
    <row r="11" spans="1:4" x14ac:dyDescent="0.25">
      <c r="B11" s="199" t="s">
        <v>20</v>
      </c>
      <c r="C11" s="199">
        <f>'HOJA DE TRABAJO'!F10</f>
        <v>788700</v>
      </c>
    </row>
    <row r="12" spans="1:4" x14ac:dyDescent="0.25">
      <c r="B12" s="199" t="s">
        <v>47</v>
      </c>
      <c r="C12" s="199">
        <f>'HOJA DE TRABAJO'!F19</f>
        <v>226102</v>
      </c>
    </row>
    <row r="13" spans="1:4" x14ac:dyDescent="0.25">
      <c r="B13" s="199" t="s">
        <v>579</v>
      </c>
      <c r="C13" s="199">
        <f>'HOJA DE TRABAJO'!F11</f>
        <v>55000</v>
      </c>
    </row>
    <row r="16" spans="1:4" s="2" customFormat="1" x14ac:dyDescent="0.25">
      <c r="B16" s="2" t="s">
        <v>41</v>
      </c>
      <c r="C16" s="5"/>
      <c r="D16" s="5">
        <f>SUM(C17:C20)</f>
        <v>64786.5</v>
      </c>
    </row>
    <row r="17" spans="1:4" x14ac:dyDescent="0.25">
      <c r="B17" s="199" t="s">
        <v>5</v>
      </c>
      <c r="C17" s="199">
        <f>'HOJA DE TRABAJO'!F12</f>
        <v>14610</v>
      </c>
    </row>
    <row r="18" spans="1:4" x14ac:dyDescent="0.25">
      <c r="B18" s="205" t="s">
        <v>639</v>
      </c>
      <c r="C18" s="199">
        <f>'HOJA DE TRABAJO'!F25</f>
        <v>4350</v>
      </c>
    </row>
    <row r="19" spans="1:4" x14ac:dyDescent="0.25">
      <c r="B19" s="205" t="s">
        <v>618</v>
      </c>
      <c r="C19" s="199">
        <f>'HOJA DE TRABAJO'!F13</f>
        <v>45000</v>
      </c>
    </row>
    <row r="20" spans="1:4" x14ac:dyDescent="0.25">
      <c r="B20" s="205" t="s">
        <v>626</v>
      </c>
      <c r="C20" s="199">
        <f>'HOJA DE TRABAJO'!F24</f>
        <v>826.5</v>
      </c>
    </row>
    <row r="21" spans="1:4" ht="17.25" customHeight="1" x14ac:dyDescent="0.25"/>
    <row r="22" spans="1:4" s="2" customFormat="1" ht="15.75" thickBot="1" x14ac:dyDescent="0.3">
      <c r="B22" s="9" t="s">
        <v>21</v>
      </c>
      <c r="C22" s="5"/>
      <c r="D22" s="27">
        <f>+D8+D16</f>
        <v>1289049.6324999998</v>
      </c>
    </row>
    <row r="23" spans="1:4" ht="9" customHeight="1" thickTop="1" x14ac:dyDescent="0.25"/>
    <row r="24" spans="1:4" s="2" customFormat="1" x14ac:dyDescent="0.25">
      <c r="A24" s="2" t="s">
        <v>1</v>
      </c>
      <c r="C24" s="5"/>
      <c r="D24" s="5"/>
    </row>
    <row r="25" spans="1:4" s="2" customFormat="1" x14ac:dyDescent="0.25">
      <c r="B25" s="2" t="s">
        <v>2</v>
      </c>
      <c r="C25" s="5"/>
      <c r="D25" s="5">
        <f>SUM(C26:C34)</f>
        <v>1096088.0449999999</v>
      </c>
    </row>
    <row r="26" spans="1:4" x14ac:dyDescent="0.25">
      <c r="B26" t="s">
        <v>602</v>
      </c>
      <c r="C26" s="4">
        <f>'HOJA DE TRABAJO'!G23</f>
        <v>30886.2</v>
      </c>
    </row>
    <row r="27" spans="1:4" x14ac:dyDescent="0.25">
      <c r="B27" t="s">
        <v>45</v>
      </c>
      <c r="C27" s="4">
        <f>'HOJA DE TRABAJO'!G14</f>
        <v>377500</v>
      </c>
    </row>
    <row r="28" spans="1:4" x14ac:dyDescent="0.25">
      <c r="B28" t="s">
        <v>580</v>
      </c>
      <c r="C28" s="4">
        <f>'HOJA DE TRABAJO'!G15</f>
        <v>350000</v>
      </c>
    </row>
    <row r="29" spans="1:4" x14ac:dyDescent="0.25">
      <c r="B29" t="str">
        <f>'HOJA DE TRABAJO'!B27</f>
        <v>APORTE LABORAL GESTORA POR PAGAR</v>
      </c>
      <c r="C29" s="4">
        <f>'HOJA DE TRABAJO'!G27</f>
        <v>70702.552500000005</v>
      </c>
    </row>
    <row r="30" spans="1:4" x14ac:dyDescent="0.25">
      <c r="B30" t="str" cm="1">
        <f t="array" ref="B30:B34">'HOJA DE TRABAJO'!B33:B37</f>
        <v>APORTE PATRONALES GESTORA POR PAGAR</v>
      </c>
      <c r="C30" s="4" cm="1">
        <f t="array" ref="C30:C34">'HOJA DE TRABAJO'!G33:G37</f>
        <v>37326.052500000005</v>
      </c>
    </row>
    <row r="31" spans="1:4" x14ac:dyDescent="0.25">
      <c r="B31" t="str">
        <v>CAJA DE SALUD POR PAGAR</v>
      </c>
      <c r="C31" s="4">
        <v>55627.5</v>
      </c>
    </row>
    <row r="32" spans="1:4" x14ac:dyDescent="0.25">
      <c r="B32" t="str">
        <v xml:space="preserve">AGUINALDOS POR PAGAR </v>
      </c>
      <c r="C32" s="4">
        <v>58015.246666666673</v>
      </c>
    </row>
    <row r="33" spans="1:4" x14ac:dyDescent="0.25">
      <c r="B33" t="str">
        <v>PREVISION PARA INDEMNIZACION</v>
      </c>
      <c r="C33" s="4">
        <v>58015.246666666673</v>
      </c>
    </row>
    <row r="34" spans="1:4" x14ac:dyDescent="0.25">
      <c r="B34" t="str">
        <v>PRIMAS POR PAGAR</v>
      </c>
      <c r="C34" s="4">
        <v>58015.246666666673</v>
      </c>
    </row>
    <row r="35" spans="1:4" ht="18" customHeight="1" x14ac:dyDescent="0.25"/>
    <row r="36" spans="1:4" s="2" customFormat="1" x14ac:dyDescent="0.25">
      <c r="A36" s="2" t="s">
        <v>7</v>
      </c>
      <c r="C36" s="5"/>
      <c r="D36" s="5"/>
    </row>
    <row r="37" spans="1:4" s="2" customFormat="1" x14ac:dyDescent="0.25">
      <c r="B37" s="2" t="s">
        <v>595</v>
      </c>
      <c r="C37" s="5"/>
      <c r="D37" s="5">
        <f>+C39+C38</f>
        <v>192961.58750000002</v>
      </c>
    </row>
    <row r="38" spans="1:4" s="2" customFormat="1" x14ac:dyDescent="0.25">
      <c r="B38" s="4" t="s">
        <v>3</v>
      </c>
      <c r="C38" s="4">
        <f>'HOJA DE TRABAJO'!G16</f>
        <v>166000</v>
      </c>
      <c r="D38" s="5"/>
    </row>
    <row r="39" spans="1:4" x14ac:dyDescent="0.25">
      <c r="B39" t="s">
        <v>598</v>
      </c>
      <c r="C39" s="28">
        <f>ER!D34</f>
        <v>26961.587500000023</v>
      </c>
    </row>
    <row r="40" spans="1:4" s="2" customFormat="1" x14ac:dyDescent="0.25">
      <c r="C40" s="5"/>
      <c r="D40" s="5"/>
    </row>
    <row r="41" spans="1:4" ht="6" customHeight="1" x14ac:dyDescent="0.25"/>
    <row r="42" spans="1:4" ht="15.75" thickBot="1" x14ac:dyDescent="0.3">
      <c r="B42" s="9" t="s">
        <v>9</v>
      </c>
      <c r="D42" s="27">
        <f>D25+D37</f>
        <v>1289049.6324999998</v>
      </c>
    </row>
    <row r="43" spans="1:4" ht="15.75" thickTop="1" x14ac:dyDescent="0.25"/>
    <row r="47" spans="1:4" s="2" customFormat="1" x14ac:dyDescent="0.25">
      <c r="B47" s="2" t="s">
        <v>585</v>
      </c>
      <c r="C47" s="5"/>
      <c r="D47" s="5" t="s">
        <v>584</v>
      </c>
    </row>
  </sheetData>
  <mergeCells count="3">
    <mergeCell ref="A3:D3"/>
    <mergeCell ref="A4:D4"/>
    <mergeCell ref="A5:D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2C86-246F-42CE-867C-2FF53BCF2FAB}">
  <dimension ref="A9:AF45"/>
  <sheetViews>
    <sheetView showGridLines="0" topLeftCell="C18" zoomScaleNormal="100" workbookViewId="0">
      <selection activeCell="D35" sqref="D35"/>
    </sheetView>
  </sheetViews>
  <sheetFormatPr baseColWidth="10" defaultColWidth="11.5703125" defaultRowHeight="15" x14ac:dyDescent="0.25"/>
  <cols>
    <col min="1" max="1" width="7" customWidth="1"/>
    <col min="2" max="2" width="14.140625" hidden="1" customWidth="1"/>
    <col min="4" max="4" width="10.140625" customWidth="1"/>
    <col min="5" max="5" width="8.5703125" customWidth="1"/>
    <col min="6" max="6" width="13.42578125" hidden="1" customWidth="1"/>
    <col min="7" max="7" width="14" hidden="1" customWidth="1"/>
    <col min="8" max="8" width="9.140625" hidden="1" customWidth="1"/>
    <col min="9" max="9" width="12.28515625" hidden="1" customWidth="1"/>
    <col min="10" max="10" width="13.85546875" hidden="1" customWidth="1"/>
    <col min="11" max="11" width="10.85546875" hidden="1" customWidth="1"/>
    <col min="12" max="12" width="13.42578125" hidden="1" customWidth="1"/>
    <col min="13" max="13" width="0" hidden="1" customWidth="1"/>
    <col min="14" max="15" width="9" hidden="1" customWidth="1"/>
    <col min="16" max="16" width="10.28515625" hidden="1" customWidth="1"/>
    <col min="17" max="17" width="9.28515625" hidden="1" customWidth="1"/>
    <col min="18" max="18" width="9.5703125" hidden="1" customWidth="1"/>
    <col min="19" max="20" width="15.140625" customWidth="1"/>
    <col min="21" max="24" width="0" hidden="1" customWidth="1"/>
    <col min="25" max="25" width="14.85546875" customWidth="1"/>
    <col min="26" max="28" width="16.5703125" customWidth="1"/>
  </cols>
  <sheetData>
    <row r="9" spans="1:28" ht="15.75" x14ac:dyDescent="0.25">
      <c r="A9" s="56" t="s">
        <v>714</v>
      </c>
      <c r="B9" s="59"/>
      <c r="C9" s="59"/>
      <c r="D9" s="59"/>
      <c r="E9" s="58"/>
      <c r="G9" s="58"/>
      <c r="H9" s="58"/>
      <c r="I9" s="58"/>
      <c r="J9" s="58"/>
      <c r="K9" s="117"/>
    </row>
    <row r="10" spans="1:28" ht="15.75" x14ac:dyDescent="0.25">
      <c r="A10" s="56" t="s">
        <v>713</v>
      </c>
      <c r="B10" s="59"/>
      <c r="C10" s="59"/>
      <c r="D10" s="59"/>
      <c r="E10" s="58"/>
      <c r="F10" s="58"/>
      <c r="G10" s="58"/>
      <c r="H10" s="58"/>
      <c r="I10" s="58"/>
      <c r="J10" s="58"/>
      <c r="K10" s="117"/>
    </row>
    <row r="11" spans="1:28" ht="15.75" x14ac:dyDescent="0.25">
      <c r="A11" s="56" t="s">
        <v>712</v>
      </c>
      <c r="E11" s="190"/>
      <c r="F11" s="190"/>
      <c r="H11" s="115"/>
    </row>
    <row r="12" spans="1:28" ht="15.75" x14ac:dyDescent="0.25">
      <c r="A12" s="56" t="s">
        <v>711</v>
      </c>
      <c r="E12" s="116"/>
      <c r="H12" s="115"/>
    </row>
    <row r="13" spans="1:28" ht="15.75" x14ac:dyDescent="0.25">
      <c r="A13" s="56" t="s">
        <v>710</v>
      </c>
      <c r="E13" s="190"/>
      <c r="F13" s="190"/>
      <c r="H13" s="115"/>
    </row>
    <row r="14" spans="1:28" ht="18" x14ac:dyDescent="0.25">
      <c r="A14" s="191" t="s">
        <v>709</v>
      </c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</row>
    <row r="15" spans="1:28" ht="18" x14ac:dyDescent="0.25">
      <c r="A15" s="191" t="s">
        <v>708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14"/>
      <c r="AA15" s="114"/>
      <c r="AB15" s="114"/>
    </row>
    <row r="16" spans="1:28" ht="15.75" x14ac:dyDescent="0.25">
      <c r="A16" s="192" t="s">
        <v>707</v>
      </c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13"/>
      <c r="AA16" s="113"/>
      <c r="AB16" s="113"/>
    </row>
    <row r="17" spans="1:32" ht="15.75" x14ac:dyDescent="0.25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</row>
    <row r="18" spans="1:32" ht="15.75" x14ac:dyDescent="0.25">
      <c r="A18" s="56" t="s">
        <v>706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</row>
    <row r="19" spans="1:32" ht="16.5" thickBot="1" x14ac:dyDescent="0.3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8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</row>
    <row r="20" spans="1:32" s="46" customFormat="1" ht="13.5" customHeight="1" thickBot="1" x14ac:dyDescent="0.25">
      <c r="A20" s="193" t="s">
        <v>705</v>
      </c>
      <c r="B20" s="177" t="s">
        <v>704</v>
      </c>
      <c r="C20" s="193" t="s">
        <v>703</v>
      </c>
      <c r="D20" s="189"/>
      <c r="E20" s="196"/>
      <c r="F20" s="189" t="s">
        <v>702</v>
      </c>
      <c r="G20" s="173" t="s">
        <v>701</v>
      </c>
      <c r="H20" s="173" t="s">
        <v>700</v>
      </c>
      <c r="I20" s="173" t="s">
        <v>699</v>
      </c>
      <c r="J20" s="173" t="s">
        <v>698</v>
      </c>
      <c r="K20" s="177" t="s">
        <v>697</v>
      </c>
      <c r="L20" s="173" t="s">
        <v>696</v>
      </c>
      <c r="M20" s="173" t="s">
        <v>695</v>
      </c>
      <c r="N20" s="187" t="s">
        <v>694</v>
      </c>
      <c r="O20" s="188"/>
      <c r="P20" s="189" t="s">
        <v>681</v>
      </c>
      <c r="Q20" s="189"/>
      <c r="R20" s="189"/>
      <c r="S20" s="173" t="s">
        <v>692</v>
      </c>
      <c r="T20" s="170" t="s">
        <v>693</v>
      </c>
      <c r="U20" s="170" t="s">
        <v>692</v>
      </c>
      <c r="V20" s="170" t="s">
        <v>692</v>
      </c>
      <c r="W20" s="170" t="s">
        <v>692</v>
      </c>
      <c r="X20" s="170" t="s">
        <v>691</v>
      </c>
      <c r="Y20" s="170" t="s">
        <v>643</v>
      </c>
      <c r="Z20" s="185" t="s">
        <v>690</v>
      </c>
      <c r="AA20" s="185" t="s">
        <v>645</v>
      </c>
      <c r="AB20" s="185" t="s">
        <v>646</v>
      </c>
    </row>
    <row r="21" spans="1:32" s="46" customFormat="1" ht="12.75" x14ac:dyDescent="0.2">
      <c r="A21" s="194"/>
      <c r="B21" s="195"/>
      <c r="C21" s="194"/>
      <c r="D21" s="197"/>
      <c r="E21" s="198"/>
      <c r="F21" s="197"/>
      <c r="G21" s="175"/>
      <c r="H21" s="174"/>
      <c r="I21" s="175"/>
      <c r="J21" s="176"/>
      <c r="K21" s="178"/>
      <c r="L21" s="175"/>
      <c r="M21" s="176"/>
      <c r="N21" s="112"/>
      <c r="O21" s="111"/>
      <c r="P21" s="110"/>
      <c r="Q21" s="110"/>
      <c r="R21" s="109"/>
      <c r="S21" s="175"/>
      <c r="T21" s="171"/>
      <c r="U21" s="171"/>
      <c r="V21" s="171"/>
      <c r="W21" s="171"/>
      <c r="X21" s="172"/>
      <c r="Y21" s="172"/>
      <c r="Z21" s="186"/>
      <c r="AA21" s="186"/>
      <c r="AB21" s="186"/>
    </row>
    <row r="22" spans="1:32" s="46" customFormat="1" ht="12.75" x14ac:dyDescent="0.2">
      <c r="A22" s="194"/>
      <c r="B22" s="195"/>
      <c r="C22" s="194"/>
      <c r="D22" s="197"/>
      <c r="E22" s="198"/>
      <c r="F22" s="197"/>
      <c r="G22" s="175"/>
      <c r="H22" s="174"/>
      <c r="I22" s="175"/>
      <c r="J22" s="176"/>
      <c r="K22" s="178"/>
      <c r="L22" s="175"/>
      <c r="M22" s="176"/>
      <c r="N22" s="108"/>
      <c r="O22" s="106" t="s">
        <v>689</v>
      </c>
      <c r="P22" s="108" t="s">
        <v>688</v>
      </c>
      <c r="Q22" s="108" t="s">
        <v>687</v>
      </c>
      <c r="R22" s="107" t="s">
        <v>686</v>
      </c>
      <c r="S22" s="175"/>
      <c r="T22" s="171"/>
      <c r="U22" s="171"/>
      <c r="V22" s="171"/>
      <c r="W22" s="171"/>
      <c r="X22" s="172"/>
      <c r="Y22" s="172"/>
      <c r="Z22" s="186"/>
      <c r="AA22" s="186"/>
      <c r="AB22" s="186"/>
    </row>
    <row r="23" spans="1:32" s="46" customFormat="1" ht="13.5" thickBot="1" x14ac:dyDescent="0.25">
      <c r="A23" s="194"/>
      <c r="B23" s="195"/>
      <c r="C23" s="194"/>
      <c r="D23" s="197"/>
      <c r="E23" s="198"/>
      <c r="F23" s="197"/>
      <c r="G23" s="175"/>
      <c r="H23" s="174"/>
      <c r="I23" s="175"/>
      <c r="J23" s="176"/>
      <c r="K23" s="178"/>
      <c r="L23" s="175"/>
      <c r="M23" s="176"/>
      <c r="N23" s="108" t="s">
        <v>685</v>
      </c>
      <c r="O23" s="106" t="s">
        <v>684</v>
      </c>
      <c r="P23" s="108" t="s">
        <v>683</v>
      </c>
      <c r="Q23" s="108" t="s">
        <v>682</v>
      </c>
      <c r="R23" s="107" t="s">
        <v>681</v>
      </c>
      <c r="S23" s="106"/>
      <c r="T23" s="105">
        <v>6.7100000000000007E-2</v>
      </c>
      <c r="U23" s="104" t="s">
        <v>680</v>
      </c>
      <c r="V23" s="104" t="s">
        <v>680</v>
      </c>
      <c r="W23" s="104" t="s">
        <v>680</v>
      </c>
      <c r="X23" s="104" t="s">
        <v>679</v>
      </c>
      <c r="Y23" s="103">
        <v>0.1</v>
      </c>
      <c r="Z23" s="102">
        <f>1/12</f>
        <v>8.3333333333333329E-2</v>
      </c>
      <c r="AA23" s="102">
        <f>1/12</f>
        <v>8.3333333333333329E-2</v>
      </c>
      <c r="AB23" s="102">
        <f>1/12</f>
        <v>8.3333333333333329E-2</v>
      </c>
    </row>
    <row r="24" spans="1:32" ht="15.75" x14ac:dyDescent="0.25">
      <c r="A24" s="101"/>
      <c r="B24" s="100"/>
      <c r="C24" s="179"/>
      <c r="D24" s="180"/>
      <c r="E24" s="181"/>
      <c r="F24" s="100"/>
      <c r="G24" s="100"/>
      <c r="H24" s="100"/>
      <c r="I24" s="100"/>
      <c r="J24" s="100"/>
      <c r="K24" s="99"/>
      <c r="L24" s="98"/>
      <c r="M24" s="98"/>
      <c r="N24" s="98"/>
      <c r="O24" s="98"/>
      <c r="P24" s="98"/>
      <c r="Q24" s="98"/>
      <c r="R24" s="98"/>
      <c r="S24" s="98"/>
      <c r="T24" s="97"/>
      <c r="U24" s="97"/>
      <c r="V24" s="96"/>
      <c r="W24" s="96"/>
      <c r="X24" s="96"/>
      <c r="Y24" s="96"/>
      <c r="Z24" s="95"/>
      <c r="AA24" s="95"/>
      <c r="AB24" s="95"/>
    </row>
    <row r="25" spans="1:32" ht="24.95" customHeight="1" x14ac:dyDescent="0.25">
      <c r="A25" s="94">
        <v>1</v>
      </c>
      <c r="B25" s="86"/>
      <c r="C25" s="182" t="s">
        <v>678</v>
      </c>
      <c r="D25" s="183"/>
      <c r="E25" s="184"/>
      <c r="F25" s="86"/>
      <c r="G25" s="92"/>
      <c r="H25" s="91"/>
      <c r="I25" s="93"/>
      <c r="J25" s="92"/>
      <c r="K25" s="91">
        <v>31</v>
      </c>
      <c r="L25" s="90">
        <v>16000</v>
      </c>
      <c r="M25" s="75">
        <v>0</v>
      </c>
      <c r="N25" s="90"/>
      <c r="O25" s="90"/>
      <c r="P25" s="90"/>
      <c r="Q25" s="90"/>
      <c r="R25" s="90"/>
      <c r="S25" s="75">
        <v>298725</v>
      </c>
      <c r="T25" s="81">
        <f>S25*T23</f>
        <v>20044.447500000002</v>
      </c>
      <c r="U25" s="81"/>
      <c r="V25" s="81"/>
      <c r="W25" s="81"/>
      <c r="X25" s="81"/>
      <c r="Y25" s="81">
        <f>S25*Y23</f>
        <v>29872.5</v>
      </c>
      <c r="Z25" s="80">
        <f>S25/12</f>
        <v>24893.75</v>
      </c>
      <c r="AA25" s="80">
        <f>+Z25</f>
        <v>24893.75</v>
      </c>
      <c r="AB25" s="80">
        <f>+AA25</f>
        <v>24893.75</v>
      </c>
    </row>
    <row r="26" spans="1:32" ht="24.95" customHeight="1" x14ac:dyDescent="0.25">
      <c r="A26" s="88"/>
      <c r="B26" s="87"/>
      <c r="C26" s="160"/>
      <c r="D26" s="161"/>
      <c r="E26" s="162"/>
      <c r="F26" s="86"/>
      <c r="G26" s="84"/>
      <c r="H26" s="83"/>
      <c r="I26" s="85"/>
      <c r="J26" s="84"/>
      <c r="K26" s="83"/>
      <c r="L26" s="82"/>
      <c r="M26" s="75"/>
      <c r="N26" s="82"/>
      <c r="O26" s="82"/>
      <c r="P26" s="82"/>
      <c r="Q26" s="82"/>
      <c r="R26" s="82"/>
      <c r="S26" s="75"/>
      <c r="T26" s="81"/>
      <c r="U26" s="81"/>
      <c r="V26" s="81"/>
      <c r="W26" s="81"/>
      <c r="X26" s="81"/>
      <c r="Y26" s="81"/>
      <c r="Z26" s="80"/>
      <c r="AA26" s="80"/>
      <c r="AB26" s="80"/>
    </row>
    <row r="27" spans="1:32" ht="24.95" hidden="1" customHeight="1" x14ac:dyDescent="0.25">
      <c r="A27" s="88"/>
      <c r="B27" s="87"/>
      <c r="C27" s="160"/>
      <c r="D27" s="161"/>
      <c r="E27" s="162"/>
      <c r="F27" s="86"/>
      <c r="G27" s="84"/>
      <c r="H27" s="83"/>
      <c r="I27" s="85"/>
      <c r="J27" s="84"/>
      <c r="K27" s="83"/>
      <c r="L27" s="82"/>
      <c r="M27" s="75"/>
      <c r="N27" s="82"/>
      <c r="O27" s="82"/>
      <c r="P27" s="82"/>
      <c r="Q27" s="82"/>
      <c r="R27" s="82"/>
      <c r="S27" s="75"/>
      <c r="T27" s="81"/>
      <c r="U27" s="81"/>
      <c r="V27" s="81"/>
      <c r="W27" s="81"/>
      <c r="X27" s="81"/>
      <c r="Y27" s="81"/>
      <c r="Z27" s="80"/>
      <c r="AA27" s="80"/>
      <c r="AB27" s="80"/>
    </row>
    <row r="28" spans="1:32" ht="24.95" hidden="1" customHeight="1" x14ac:dyDescent="0.25">
      <c r="A28" s="88"/>
      <c r="B28" s="87"/>
      <c r="C28" s="160"/>
      <c r="D28" s="161"/>
      <c r="E28" s="162"/>
      <c r="F28" s="86"/>
      <c r="G28" s="84"/>
      <c r="H28" s="83"/>
      <c r="I28" s="85"/>
      <c r="J28" s="84"/>
      <c r="K28" s="83"/>
      <c r="L28" s="82"/>
      <c r="M28" s="75"/>
      <c r="N28" s="82"/>
      <c r="O28" s="82"/>
      <c r="P28" s="82"/>
      <c r="Q28" s="82"/>
      <c r="R28" s="82"/>
      <c r="S28" s="75"/>
      <c r="T28" s="81"/>
      <c r="U28" s="81"/>
      <c r="V28" s="81"/>
      <c r="W28" s="81"/>
      <c r="X28" s="81"/>
      <c r="Y28" s="81"/>
      <c r="Z28" s="80"/>
      <c r="AA28" s="80"/>
      <c r="AB28" s="80"/>
      <c r="AF28" s="89"/>
    </row>
    <row r="29" spans="1:32" ht="24.95" hidden="1" customHeight="1" x14ac:dyDescent="0.25">
      <c r="A29" s="88"/>
      <c r="B29" s="87"/>
      <c r="C29" s="160"/>
      <c r="D29" s="161"/>
      <c r="E29" s="162"/>
      <c r="F29" s="86"/>
      <c r="G29" s="84"/>
      <c r="H29" s="83"/>
      <c r="I29" s="85"/>
      <c r="J29" s="84"/>
      <c r="K29" s="83"/>
      <c r="L29" s="82"/>
      <c r="M29" s="75"/>
      <c r="N29" s="82"/>
      <c r="O29" s="82"/>
      <c r="P29" s="82"/>
      <c r="Q29" s="82"/>
      <c r="R29" s="82"/>
      <c r="S29" s="75"/>
      <c r="T29" s="81"/>
      <c r="U29" s="81"/>
      <c r="V29" s="81"/>
      <c r="W29" s="81"/>
      <c r="X29" s="81"/>
      <c r="Y29" s="81"/>
      <c r="Z29" s="80"/>
      <c r="AA29" s="80"/>
      <c r="AB29" s="80"/>
      <c r="AE29" s="4"/>
    </row>
    <row r="30" spans="1:32" ht="24.95" customHeight="1" x14ac:dyDescent="0.25">
      <c r="A30" s="88"/>
      <c r="B30" s="87"/>
      <c r="C30" s="160"/>
      <c r="D30" s="161"/>
      <c r="E30" s="162"/>
      <c r="F30" s="86"/>
      <c r="G30" s="84"/>
      <c r="H30" s="83"/>
      <c r="I30" s="85"/>
      <c r="J30" s="84"/>
      <c r="K30" s="83"/>
      <c r="L30" s="82"/>
      <c r="M30" s="75"/>
      <c r="N30" s="82"/>
      <c r="O30" s="82"/>
      <c r="P30" s="82"/>
      <c r="Q30" s="82"/>
      <c r="R30" s="82"/>
      <c r="S30" s="75"/>
      <c r="T30" s="81"/>
      <c r="U30" s="81"/>
      <c r="V30" s="81"/>
      <c r="W30" s="81"/>
      <c r="X30" s="81"/>
      <c r="Y30" s="81"/>
      <c r="Z30" s="80"/>
      <c r="AA30" s="80"/>
      <c r="AB30" s="80"/>
      <c r="AE30" s="4"/>
    </row>
    <row r="31" spans="1:32" ht="24.95" customHeight="1" thickBot="1" x14ac:dyDescent="0.3">
      <c r="A31" s="79"/>
      <c r="B31" s="78"/>
      <c r="C31" s="163"/>
      <c r="D31" s="164"/>
      <c r="E31" s="165"/>
      <c r="F31" s="78"/>
      <c r="G31" s="78"/>
      <c r="H31" s="78"/>
      <c r="I31" s="78"/>
      <c r="J31" s="78"/>
      <c r="K31" s="77"/>
      <c r="L31" s="76"/>
      <c r="M31" s="76"/>
      <c r="N31" s="76"/>
      <c r="O31" s="76"/>
      <c r="P31" s="76"/>
      <c r="Q31" s="76"/>
      <c r="R31" s="76"/>
      <c r="S31" s="75"/>
      <c r="T31" s="74"/>
      <c r="U31" s="74"/>
      <c r="V31" s="73"/>
      <c r="W31" s="73"/>
      <c r="X31" s="73"/>
      <c r="Y31" s="73"/>
      <c r="Z31" s="72"/>
      <c r="AA31" s="72"/>
      <c r="AB31" s="72"/>
    </row>
    <row r="32" spans="1:32" ht="24.95" customHeight="1" thickBot="1" x14ac:dyDescent="0.3">
      <c r="A32" s="166" t="s">
        <v>677</v>
      </c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71">
        <f>SUM(L25:L31)</f>
        <v>16000</v>
      </c>
      <c r="M32" s="71">
        <f>SUM(M25:M31)</f>
        <v>0</v>
      </c>
      <c r="N32" s="71">
        <v>0</v>
      </c>
      <c r="O32" s="71">
        <v>0</v>
      </c>
      <c r="P32" s="71">
        <f>SUM(P25:P31)</f>
        <v>0</v>
      </c>
      <c r="Q32" s="71">
        <v>0</v>
      </c>
      <c r="R32" s="71">
        <v>0</v>
      </c>
      <c r="S32" s="70">
        <f t="shared" ref="S32:AB32" si="0">SUM(S25:S31)</f>
        <v>298725</v>
      </c>
      <c r="T32" s="69">
        <f t="shared" si="0"/>
        <v>20044.447500000002</v>
      </c>
      <c r="U32" s="69">
        <f t="shared" si="0"/>
        <v>0</v>
      </c>
      <c r="V32" s="69">
        <f t="shared" si="0"/>
        <v>0</v>
      </c>
      <c r="W32" s="69">
        <f t="shared" si="0"/>
        <v>0</v>
      </c>
      <c r="X32" s="69">
        <f t="shared" si="0"/>
        <v>0</v>
      </c>
      <c r="Y32" s="69">
        <f t="shared" si="0"/>
        <v>29872.5</v>
      </c>
      <c r="Z32" s="68">
        <f t="shared" si="0"/>
        <v>24893.75</v>
      </c>
      <c r="AA32" s="68">
        <f t="shared" si="0"/>
        <v>24893.75</v>
      </c>
      <c r="AB32" s="68">
        <f t="shared" si="0"/>
        <v>24893.75</v>
      </c>
    </row>
    <row r="33" spans="1:28" ht="15.75" x14ac:dyDescent="0.25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</row>
    <row r="34" spans="1:28" ht="15.75" x14ac:dyDescent="0.25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N34" s="59"/>
      <c r="O34" s="59"/>
      <c r="P34" s="59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</row>
    <row r="35" spans="1:28" ht="15.75" x14ac:dyDescent="0.25">
      <c r="A35" s="66"/>
      <c r="B35" s="66"/>
      <c r="C35" s="66"/>
      <c r="D35" s="66"/>
      <c r="E35" s="66"/>
      <c r="F35" s="66"/>
      <c r="G35" s="66"/>
      <c r="H35" s="66"/>
      <c r="I35" s="66"/>
      <c r="K35" s="66"/>
      <c r="M35" s="65"/>
      <c r="N35" s="59"/>
      <c r="O35" s="59"/>
      <c r="P35" s="59"/>
      <c r="Q35" s="63"/>
      <c r="R35" s="63"/>
      <c r="S35" s="63"/>
      <c r="T35" s="67"/>
      <c r="U35" s="63"/>
      <c r="V35" s="63"/>
      <c r="W35" s="63"/>
      <c r="X35" s="63"/>
      <c r="Y35" s="63"/>
      <c r="Z35" s="63"/>
      <c r="AA35" s="63"/>
      <c r="AB35" s="63"/>
    </row>
    <row r="36" spans="1:28" ht="15.75" x14ac:dyDescent="0.25">
      <c r="A36" s="66"/>
      <c r="B36" s="66"/>
      <c r="C36" s="66"/>
      <c r="D36" s="66"/>
      <c r="E36" s="66"/>
      <c r="F36" s="66"/>
      <c r="G36" s="66"/>
      <c r="H36" s="66"/>
      <c r="J36" s="66"/>
      <c r="L36" s="66"/>
      <c r="N36" s="59"/>
      <c r="O36" s="59"/>
      <c r="P36" s="59"/>
      <c r="R36" s="63"/>
      <c r="S36" s="63"/>
      <c r="T36" s="65"/>
      <c r="U36" s="65"/>
      <c r="V36" s="63"/>
      <c r="W36" s="63"/>
      <c r="X36" s="63"/>
    </row>
    <row r="37" spans="1:28" ht="15.75" x14ac:dyDescent="0.25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64"/>
      <c r="T37" s="59"/>
      <c r="U37" s="59"/>
      <c r="V37" s="56"/>
      <c r="W37" s="63"/>
      <c r="X37" s="63"/>
      <c r="Y37" s="58"/>
      <c r="Z37" s="58"/>
      <c r="AA37" s="58"/>
      <c r="AB37" s="58"/>
    </row>
    <row r="38" spans="1:28" ht="15.75" x14ac:dyDescent="0.25">
      <c r="A38" s="59"/>
      <c r="B38" s="59"/>
      <c r="C38" s="59"/>
      <c r="D38" s="59"/>
      <c r="E38" s="59"/>
      <c r="F38" s="59"/>
      <c r="G38" s="168" t="s">
        <v>676</v>
      </c>
      <c r="H38" s="168"/>
      <c r="I38" s="168"/>
      <c r="J38" s="168"/>
      <c r="K38" s="168"/>
      <c r="L38" s="168"/>
      <c r="M38" s="58"/>
      <c r="N38" s="168" t="s">
        <v>675</v>
      </c>
      <c r="O38" s="168"/>
      <c r="P38" s="168"/>
      <c r="Q38" s="168"/>
      <c r="R38" s="59"/>
      <c r="S38" s="62"/>
      <c r="T38" s="62"/>
      <c r="U38" s="62"/>
      <c r="V38" s="62"/>
      <c r="W38" s="59"/>
      <c r="Y38" s="58"/>
      <c r="Z38" s="58"/>
      <c r="AA38" s="58"/>
      <c r="AB38" s="58"/>
    </row>
    <row r="39" spans="1:28" ht="15.75" x14ac:dyDescent="0.25">
      <c r="A39" s="59"/>
      <c r="B39" s="59"/>
      <c r="C39" s="59"/>
      <c r="D39" s="59"/>
      <c r="E39" s="59"/>
      <c r="F39" s="59"/>
      <c r="G39" s="169" t="s">
        <v>674</v>
      </c>
      <c r="H39" s="169"/>
      <c r="I39" s="169"/>
      <c r="J39" s="169"/>
      <c r="K39" s="169"/>
      <c r="L39" s="169"/>
      <c r="M39" s="58"/>
      <c r="N39" s="61" t="s">
        <v>673</v>
      </c>
      <c r="O39" s="60"/>
      <c r="P39" s="61"/>
      <c r="Q39" s="60"/>
      <c r="R39" s="59"/>
      <c r="S39" s="159" t="s">
        <v>672</v>
      </c>
      <c r="T39" s="159"/>
      <c r="U39" s="159"/>
      <c r="V39" s="159"/>
      <c r="W39" s="58"/>
      <c r="X39" s="57" t="s">
        <v>671</v>
      </c>
      <c r="Y39" s="56"/>
      <c r="Z39" s="56"/>
      <c r="AA39" s="56"/>
      <c r="AB39" s="56"/>
    </row>
    <row r="44" spans="1:28" x14ac:dyDescent="0.25">
      <c r="N44" s="4"/>
    </row>
    <row r="45" spans="1:28" x14ac:dyDescent="0.25">
      <c r="N45" s="4"/>
    </row>
  </sheetData>
  <mergeCells count="41">
    <mergeCell ref="A20:A23"/>
    <mergeCell ref="B20:B23"/>
    <mergeCell ref="C20:E23"/>
    <mergeCell ref="F20:F23"/>
    <mergeCell ref="G20:G23"/>
    <mergeCell ref="E11:F11"/>
    <mergeCell ref="E13:F13"/>
    <mergeCell ref="A14:AB14"/>
    <mergeCell ref="A15:Y15"/>
    <mergeCell ref="A16:Y16"/>
    <mergeCell ref="AB20:AB22"/>
    <mergeCell ref="N20:O20"/>
    <mergeCell ref="P20:R20"/>
    <mergeCell ref="S20:S22"/>
    <mergeCell ref="T20:T22"/>
    <mergeCell ref="U20:U22"/>
    <mergeCell ref="V20:V22"/>
    <mergeCell ref="Z20:Z22"/>
    <mergeCell ref="AA20:AA22"/>
    <mergeCell ref="C28:E28"/>
    <mergeCell ref="C29:E29"/>
    <mergeCell ref="W20:W22"/>
    <mergeCell ref="X20:X22"/>
    <mergeCell ref="Y20:Y22"/>
    <mergeCell ref="H20:H23"/>
    <mergeCell ref="I20:I23"/>
    <mergeCell ref="J20:J23"/>
    <mergeCell ref="K20:K23"/>
    <mergeCell ref="L20:L23"/>
    <mergeCell ref="M20:M23"/>
    <mergeCell ref="C24:E24"/>
    <mergeCell ref="C25:E25"/>
    <mergeCell ref="C26:E26"/>
    <mergeCell ref="C27:E27"/>
    <mergeCell ref="S39:V39"/>
    <mergeCell ref="C30:E30"/>
    <mergeCell ref="C31:E31"/>
    <mergeCell ref="A32:K32"/>
    <mergeCell ref="G38:L38"/>
    <mergeCell ref="N38:Q38"/>
    <mergeCell ref="G39:L39"/>
  </mergeCells>
  <pageMargins left="0.70866141732283472" right="0.70866141732283472" top="0.74803149606299213" bottom="0.74803149606299213" header="0.31496062992125984" footer="0.31496062992125984"/>
  <pageSetup scale="4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plan</vt:lpstr>
      <vt:lpstr>Blce. Apertura (2)</vt:lpstr>
      <vt:lpstr>Libro Diario 1</vt:lpstr>
      <vt:lpstr>Lista de Libros</vt:lpstr>
      <vt:lpstr>Mayores</vt:lpstr>
      <vt:lpstr>HOJA DE TRABAJO</vt:lpstr>
      <vt:lpstr>ER</vt:lpstr>
      <vt:lpstr>BG</vt:lpstr>
      <vt:lpstr>AP. Y BENEFICIOS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dtejerina</dc:creator>
  <cp:lastModifiedBy>joel fransisco miranda dominguez</cp:lastModifiedBy>
  <cp:lastPrinted>2022-12-02T16:36:34Z</cp:lastPrinted>
  <dcterms:created xsi:type="dcterms:W3CDTF">2020-09-30T22:05:35Z</dcterms:created>
  <dcterms:modified xsi:type="dcterms:W3CDTF">2023-12-21T10:50:43Z</dcterms:modified>
</cp:coreProperties>
</file>