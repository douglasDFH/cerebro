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20001_{3693B077-4C52-4484-B96A-447B9B576C66}" xr6:coauthVersionLast="43" xr6:coauthVersionMax="43" xr10:uidLastSave="{00000000-0000-0000-0000-000000000000}"/>
  <bookViews>
    <workbookView xWindow="-108" yWindow="-108" windowWidth="23256" windowHeight="12456" activeTab="1" xr2:uid="{00000000-000D-0000-FFFF-FFFF00000000}"/>
  </bookViews>
  <sheets>
    <sheet name="plan de cuentas" sheetId="5" r:id="rId1"/>
    <sheet name="BALANCE APERTURA" sheetId="1" r:id="rId2"/>
    <sheet name="LIBRO DIARIO" sheetId="2" r:id="rId3"/>
    <sheet name="LIBRO MAYORES" sheetId="3" r:id="rId4"/>
    <sheet name="BC SUMAS Y SALDOS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5" i="4" l="1"/>
  <c r="H31" i="3"/>
  <c r="D31" i="3"/>
  <c r="A31" i="3"/>
  <c r="N17" i="3"/>
  <c r="K17" i="3"/>
  <c r="G17" i="3"/>
  <c r="B17" i="3"/>
  <c r="N6" i="3"/>
  <c r="J6" i="3"/>
  <c r="D7" i="3"/>
  <c r="E6" i="3"/>
  <c r="D6" i="3"/>
  <c r="C25" i="2" l="1"/>
  <c r="D28" i="2" s="1"/>
  <c r="D13" i="2"/>
  <c r="C19" i="2"/>
  <c r="C18" i="2"/>
  <c r="D14" i="2"/>
  <c r="C12" i="2"/>
  <c r="D15" i="2" s="1"/>
  <c r="C7" i="2"/>
  <c r="C6" i="2"/>
  <c r="C5" i="2"/>
  <c r="E26" i="1"/>
  <c r="F29" i="1" s="1"/>
  <c r="F20" i="1"/>
  <c r="F14" i="1"/>
  <c r="F22" i="1" l="1"/>
  <c r="E32" i="1" s="1"/>
  <c r="F31" i="1" s="1"/>
  <c r="F34" i="1" s="1"/>
  <c r="G34" i="4" l="1"/>
  <c r="G30" i="4"/>
  <c r="G29" i="4"/>
  <c r="G23" i="4"/>
  <c r="G19" i="4"/>
  <c r="G17" i="4"/>
  <c r="G12" i="4"/>
  <c r="H53" i="3"/>
  <c r="G53" i="3" s="1"/>
  <c r="G54" i="3" s="1"/>
  <c r="K43" i="3"/>
  <c r="N43" i="3" s="1"/>
  <c r="H43" i="3"/>
  <c r="E43" i="3"/>
  <c r="A43" i="3"/>
  <c r="M37" i="3"/>
  <c r="E22" i="3"/>
  <c r="D22" i="3"/>
  <c r="D23" i="3" s="1"/>
  <c r="B10" i="3"/>
  <c r="A10" i="3"/>
  <c r="G6" i="3"/>
  <c r="D8" i="2"/>
  <c r="A11" i="3" l="1"/>
  <c r="B49" i="3"/>
  <c r="G33" i="4"/>
  <c r="G32" i="4"/>
  <c r="F36" i="4"/>
  <c r="G31" i="4"/>
  <c r="G36" i="4" s="1"/>
  <c r="D36" i="4" l="1"/>
  <c r="E36" i="4"/>
</calcChain>
</file>

<file path=xl/sharedStrings.xml><?xml version="1.0" encoding="utf-8"?>
<sst xmlns="http://schemas.openxmlformats.org/spreadsheetml/2006/main" count="590" uniqueCount="333">
  <si>
    <t>ACTIVO</t>
  </si>
  <si>
    <t>PASIVO</t>
  </si>
  <si>
    <t>PATRIMONIO</t>
  </si>
  <si>
    <t>TOTAL PASIVO Y PATRIMONIO</t>
  </si>
  <si>
    <t>LIBRO DIARIO (COMPROBANTES)</t>
  </si>
  <si>
    <t>FECHA</t>
  </si>
  <si>
    <t>DETALLE</t>
  </si>
  <si>
    <t>DEBE</t>
  </si>
  <si>
    <t>HABER</t>
  </si>
  <si>
    <t xml:space="preserve">     ------------ CT-01 ----------</t>
  </si>
  <si>
    <t>BANCO BISA M/N</t>
  </si>
  <si>
    <t>MUEBLES Y ENSERES</t>
  </si>
  <si>
    <t>EQUIPOS DE COMPUTACION</t>
  </si>
  <si>
    <t xml:space="preserve">     ------------ CE-01 ----------</t>
  </si>
  <si>
    <t>CREDITO FISCAL</t>
  </si>
  <si>
    <t>INVENTARIO DE MERCADERIAS</t>
  </si>
  <si>
    <t>SEGUROS PAGADOS POR ADELANTADO</t>
  </si>
  <si>
    <t>Glosa: pago del seguro vehicular 1 año</t>
  </si>
  <si>
    <t xml:space="preserve">     ------------ CI-01 ----------</t>
  </si>
  <si>
    <t>I.T.</t>
  </si>
  <si>
    <t xml:space="preserve">     ------------ CE-04 ----------</t>
  </si>
  <si>
    <t>DEVOLUCIONES SOBRE VENTAS</t>
  </si>
  <si>
    <t xml:space="preserve">     ------------ CT-03 ----------</t>
  </si>
  <si>
    <t>CUENTAS POR PAGAR</t>
  </si>
  <si>
    <t>SUELDOS Y SALARIOS</t>
  </si>
  <si>
    <t xml:space="preserve">          APORTE LABORAL GESTORA POR PAGAR</t>
  </si>
  <si>
    <t>APORTES PATRONALES GESTORA 6.71%</t>
  </si>
  <si>
    <t xml:space="preserve">        APORTE PATRONAL GESTORA POR PAGAR</t>
  </si>
  <si>
    <t xml:space="preserve">       CAJA DE SALUD POR PAGAR</t>
  </si>
  <si>
    <t xml:space="preserve">       AGUINALDO POR PAGAR</t>
  </si>
  <si>
    <t xml:space="preserve">       PREVISION PARA INDEMIZACION </t>
  </si>
  <si>
    <t xml:space="preserve">       PRIMAS POR PAGAR</t>
  </si>
  <si>
    <t xml:space="preserve">        DESCUENTO EN COMPRAS</t>
  </si>
  <si>
    <t>DEBITO FISCAL</t>
  </si>
  <si>
    <t xml:space="preserve"> </t>
  </si>
  <si>
    <t>CAJA MN</t>
  </si>
  <si>
    <t>INVENTARIO DE MERCAD.</t>
  </si>
  <si>
    <t>EMPRESA: LOS PENOCOS S.A.</t>
  </si>
  <si>
    <t>BALANCE DE COMPROBACION DE SUMAS Y SALDOS</t>
  </si>
  <si>
    <t>DEL 01 AL 30 DE NOVIEMBRE DE 2023</t>
  </si>
  <si>
    <t>EXPRESADO EN BOLIVIANOS</t>
  </si>
  <si>
    <t>NRO</t>
  </si>
  <si>
    <t>CUENTAS</t>
  </si>
  <si>
    <t>TIPO</t>
  </si>
  <si>
    <t>SUMAS</t>
  </si>
  <si>
    <t>SALDOS</t>
  </si>
  <si>
    <t>DEUDOR</t>
  </si>
  <si>
    <t>ACREEDOR</t>
  </si>
  <si>
    <t>CAPITAL SOCIAL</t>
  </si>
  <si>
    <t>VENTAS</t>
  </si>
  <si>
    <t>I.T. POR PAGAR</t>
  </si>
  <si>
    <t>APORTE LABORAL GESTORA POR PAGAR</t>
  </si>
  <si>
    <t>CAJA DE SALUD 10%</t>
  </si>
  <si>
    <t>AGUINALDOS</t>
  </si>
  <si>
    <t>INDEMNIZACION</t>
  </si>
  <si>
    <t>PRIMAS</t>
  </si>
  <si>
    <t>APORTE PATRONAL GESTORA POR PAGAR</t>
  </si>
  <si>
    <t>CAJA DE SALUD POR PAGAR</t>
  </si>
  <si>
    <t>AGUINALDO POR PAGAR</t>
  </si>
  <si>
    <t xml:space="preserve">PREVISION PARA INDEMIZACION </t>
  </si>
  <si>
    <t>PRIMAS POR PAGAR</t>
  </si>
  <si>
    <t>DESCUENTO EN COMPRAS</t>
  </si>
  <si>
    <t>SUMAS IGUALES</t>
  </si>
  <si>
    <t>CODIGO</t>
  </si>
  <si>
    <t>CUENTA</t>
  </si>
  <si>
    <t>CLASIFICACION FLUJO</t>
  </si>
  <si>
    <t>no corresponde</t>
  </si>
  <si>
    <t>OPERACIONES</t>
  </si>
  <si>
    <t>ACTIVO DISPONIBLE</t>
  </si>
  <si>
    <t>INVERSIONES</t>
  </si>
  <si>
    <t>CAJAS</t>
  </si>
  <si>
    <t>FINANCIAMIENTO</t>
  </si>
  <si>
    <t>CAJA MONEDA NACIONAL</t>
  </si>
  <si>
    <t>DISPONIBLE</t>
  </si>
  <si>
    <t>CAJA CHICAS</t>
  </si>
  <si>
    <t>CAJA CHICA M/N</t>
  </si>
  <si>
    <t>BANCOS M/N</t>
  </si>
  <si>
    <t>BANCO BISA 7468910017</t>
  </si>
  <si>
    <t>BANCO  UNION 10000033281069</t>
  </si>
  <si>
    <t>BANCO 3</t>
  </si>
  <si>
    <t>BANCO 4</t>
  </si>
  <si>
    <t>BANCO GANADERO M/N</t>
  </si>
  <si>
    <t>BANCO UNION M/N</t>
  </si>
  <si>
    <t>ACTIVO EXIGIBLE</t>
  </si>
  <si>
    <t>CUENTAS POR COBRAR CLIENTES</t>
  </si>
  <si>
    <t>CUENTAS POR COBRAR</t>
  </si>
  <si>
    <t>OTRAS CUENTAS POR COBRAR</t>
  </si>
  <si>
    <t xml:space="preserve">ANTICIPO DE PROVEEDORES LOCALES  </t>
  </si>
  <si>
    <t>CUENTAS POR COBRAR SUBROGACION</t>
  </si>
  <si>
    <t>FONDOS A RENDIR</t>
  </si>
  <si>
    <t>FONDOS 1</t>
  </si>
  <si>
    <t>FONDOS 2</t>
  </si>
  <si>
    <t>FONDOS 3</t>
  </si>
  <si>
    <t>FONDOS 4</t>
  </si>
  <si>
    <t>PRESTAMOS A TERCEROS</t>
  </si>
  <si>
    <t>PRESTAMOS AL PERSONAL</t>
  </si>
  <si>
    <t>CUENTAS TRIBUTARIAS</t>
  </si>
  <si>
    <t xml:space="preserve">CREDITO FISCAL </t>
  </si>
  <si>
    <t>I.T.PAGADO POR ANTICIPADO</t>
  </si>
  <si>
    <t>(-)PREV. PARA CUENTA INCOBRABLES M/N</t>
  </si>
  <si>
    <t>(-)PREV.CUENTAS INCOBRABLES M/E</t>
  </si>
  <si>
    <t>ACTIVO REALIZABLE</t>
  </si>
  <si>
    <t>INVENTARIOS DE MERCADERIAS</t>
  </si>
  <si>
    <t>ACTIVO DIFERIDO</t>
  </si>
  <si>
    <t>GASTOS DE ORGANIZACION</t>
  </si>
  <si>
    <t>ACTIVO FIJO</t>
  </si>
  <si>
    <t>TERRENOS</t>
  </si>
  <si>
    <t>EDIFICIOS</t>
  </si>
  <si>
    <t>EDIFICIOS Y CONSTRUCCIONES</t>
  </si>
  <si>
    <t>DEP.ACUM.EDIFICIOS Y CONSTRUCCIONES</t>
  </si>
  <si>
    <t>DEP.ACUM. MUEBLES Y ENSERES</t>
  </si>
  <si>
    <t>HERRAMIENTAS</t>
  </si>
  <si>
    <t>DEP.ACUML.HERRAMIENTAS</t>
  </si>
  <si>
    <t>MAQUINARIA Y EQUIPOS</t>
  </si>
  <si>
    <t>MAQUINARIA Y EQUIPO</t>
  </si>
  <si>
    <t>DEP.ACUMUL.MAQ.Y EQUIPO</t>
  </si>
  <si>
    <t>VEHICULOS</t>
  </si>
  <si>
    <t>DEP.ACUMUL.VEHICULOS</t>
  </si>
  <si>
    <t>DEP.ACUML.EQUIPO DE COMP.</t>
  </si>
  <si>
    <t>EQUPOS E INSTLACIONES</t>
  </si>
  <si>
    <t>EQUIPOS E INSTALACIONES</t>
  </si>
  <si>
    <t>DEP.ACUML.EQUIPOS E INSTALACIONES</t>
  </si>
  <si>
    <t>INVERSIONES EN OTRAS EMPRESAS</t>
  </si>
  <si>
    <t>ACCIONES TELEFONICAS</t>
  </si>
  <si>
    <t>INTANGIBLES</t>
  </si>
  <si>
    <t>LICENCIA DE USO SISTEMA</t>
  </si>
  <si>
    <t>OBRAS EN EJECUCION</t>
  </si>
  <si>
    <t>CONSTRUCCIONES CIVILES</t>
  </si>
  <si>
    <t>PASIVO CORRIENTE</t>
  </si>
  <si>
    <t>CUENTAS POR PAGAR COMERCIALES</t>
  </si>
  <si>
    <t>OTRAS CUENTAS POR PAGAR</t>
  </si>
  <si>
    <t>SERVICIOS BASICOS</t>
  </si>
  <si>
    <t>CRE POR PAGAR</t>
  </si>
  <si>
    <t>SAGUAPAC POR PAGAR</t>
  </si>
  <si>
    <t>TELECEL-INTERNET POR PAGAR</t>
  </si>
  <si>
    <t>COTAS POR PAGAR</t>
  </si>
  <si>
    <t>TIGO POR PAGAR</t>
  </si>
  <si>
    <t>BOLIVIATEL POR PAGAR</t>
  </si>
  <si>
    <t>CUENTAS POR PAGAR A CLIENTES</t>
  </si>
  <si>
    <t>ANTICIPOS DE CLIENTES M/N</t>
  </si>
  <si>
    <t>DEVOLUCIONES A CLIENTES M/N</t>
  </si>
  <si>
    <t>OBLIGACIONES FISCALES POR PAGAR</t>
  </si>
  <si>
    <t>IMPUESTO A LAS TRANSACCIONES POR PAGAR</t>
  </si>
  <si>
    <t>IMPUESTO A LAS UTILIDADES POR PAGAR</t>
  </si>
  <si>
    <t>IMPUESTO AL VALOR AGREGADO POR PAGAR</t>
  </si>
  <si>
    <t>PATENTE MUNICIPAL POR PAGAR</t>
  </si>
  <si>
    <t>IMPUESTOS A LOS VEHICULOS POR PAGAR</t>
  </si>
  <si>
    <t>IMPUESTOS A LOS INMUEBLES POR PAGAR</t>
  </si>
  <si>
    <t>APORTES SOCIALES POR PAGAR</t>
  </si>
  <si>
    <t>APORTE SOLIDARIO GESTORA POR PAGAR</t>
  </si>
  <si>
    <t>OBLIGACIONES CON EL PERSONAL</t>
  </si>
  <si>
    <t>SUELDOS Y SALARIOS POR PAGAR</t>
  </si>
  <si>
    <t>SUBSIDIO POR PAGAR</t>
  </si>
  <si>
    <t>COMISIONES SOBRE VENTAS POR PAGAR</t>
  </si>
  <si>
    <t>COMISION SOBRE COBRANZAS POR PAGAR</t>
  </si>
  <si>
    <t>BONOS AL PERSONAL POR PAGAR</t>
  </si>
  <si>
    <t>PASIVO NO CORRIENTE</t>
  </si>
  <si>
    <t>PROVISIONES Y PREVISIONES</t>
  </si>
  <si>
    <t>PROVISION PARA AGUINALDO</t>
  </si>
  <si>
    <t>PRESTAMOS BANCARIOS</t>
  </si>
  <si>
    <t>PRESTAMO BANCARIO 1</t>
  </si>
  <si>
    <t>PRESTAMO BANCARIO 2</t>
  </si>
  <si>
    <t>CAPITAL PAGADO</t>
  </si>
  <si>
    <t>RESULTADOS</t>
  </si>
  <si>
    <t>RESULTADOS ACUMULADOS</t>
  </si>
  <si>
    <t>RESULTADOS DE LA GESTION</t>
  </si>
  <si>
    <t>RESERVAS</t>
  </si>
  <si>
    <t>RESERVAS LEGALES</t>
  </si>
  <si>
    <t>AJUSTES</t>
  </si>
  <si>
    <t>AJUSTE DE CAPITAL</t>
  </si>
  <si>
    <t>AJUSTE DE RESERVAS PATRIMONIALES</t>
  </si>
  <si>
    <t>INGRESOS</t>
  </si>
  <si>
    <t>INGRESOS OPERATIVOS</t>
  </si>
  <si>
    <t>VENTAS DE PRODUCTOS</t>
  </si>
  <si>
    <t>RECARGO SOBRE VENTAS</t>
  </si>
  <si>
    <t>DESCUENTOS SOBRE VENTAS</t>
  </si>
  <si>
    <t>INGRESOS NO OPERATIVOS</t>
  </si>
  <si>
    <t>INGRESOS FINANCIEROS</t>
  </si>
  <si>
    <t>INTERESES GANADOS EN CTAS. CTES.</t>
  </si>
  <si>
    <t>COMISIONES GANADAS</t>
  </si>
  <si>
    <t>VENTA DE ACTIVO FIJO</t>
  </si>
  <si>
    <t>OTROS INGRESOS</t>
  </si>
  <si>
    <t>CORRECCION MONETARIA</t>
  </si>
  <si>
    <t>DIFERENCIA DE CAMBIO</t>
  </si>
  <si>
    <t>A.I.T.B.</t>
  </si>
  <si>
    <t>MANTENIMIENTO DE VALOR</t>
  </si>
  <si>
    <t>DIFERENCIA POR REDONDEO</t>
  </si>
  <si>
    <t>COSTO</t>
  </si>
  <si>
    <t>COSTO DE VENTAS</t>
  </si>
  <si>
    <t>COSTO MERCADERIA VENDIDA</t>
  </si>
  <si>
    <t>COSTO DE FLETES Y ACARREOS</t>
  </si>
  <si>
    <t>DIFERENCIA EN INVENTARIOS</t>
  </si>
  <si>
    <t>DEGUSTACION Y MUESTRAS</t>
  </si>
  <si>
    <t>GASTOS</t>
  </si>
  <si>
    <t>GASTOS OPERATIVOS</t>
  </si>
  <si>
    <t>GASTOS EN EL PERSONAL</t>
  </si>
  <si>
    <t>BENEFICIOS SOCIALES Y OTROS</t>
  </si>
  <si>
    <t>HORAS EXTRAS</t>
  </si>
  <si>
    <t>BONOS</t>
  </si>
  <si>
    <t>VACACIONES</t>
  </si>
  <si>
    <t>SUBSIDIOS</t>
  </si>
  <si>
    <t>BONO DE ANTIGÜEDAD</t>
  </si>
  <si>
    <t>REFRIGERIO</t>
  </si>
  <si>
    <t>COMISION SOBRE COBRANZA</t>
  </si>
  <si>
    <t>BONO DE NATALIDAD</t>
  </si>
  <si>
    <t>TRANSPORTE Y OTROS</t>
  </si>
  <si>
    <t>APORTES SOCIALES</t>
  </si>
  <si>
    <t>Aportes Patronal Ministerio de Trabajo</t>
  </si>
  <si>
    <t>Caja Nacional de Salud</t>
  </si>
  <si>
    <t>Formularios</t>
  </si>
  <si>
    <t>Multas y sanciones por aportes sociales</t>
  </si>
  <si>
    <t>GASTOS ADMINISTRATIVOS</t>
  </si>
  <si>
    <t>HONORARIOS PROFESIONALES</t>
  </si>
  <si>
    <t>GASTOS DE REPRESENTACION</t>
  </si>
  <si>
    <t>SOPORTE TECNICO</t>
  </si>
  <si>
    <t>COURRIER Y MENSAJERIA</t>
  </si>
  <si>
    <t>IMPRENTA</t>
  </si>
  <si>
    <t>FOTOCOPIAS/ANILLADOS</t>
  </si>
  <si>
    <t>ENERGIA ELECTRICA</t>
  </si>
  <si>
    <t>AGUA</t>
  </si>
  <si>
    <t>TELEFONO FIJO</t>
  </si>
  <si>
    <t>TELEFONO CELULAR</t>
  </si>
  <si>
    <t>INTERNET</t>
  </si>
  <si>
    <t>MATERIALES Y SUMINISTROS</t>
  </si>
  <si>
    <t>MATERIAL DE ESCRITORIO</t>
  </si>
  <si>
    <t>MATERIAL DE LIMPIEZA</t>
  </si>
  <si>
    <t>MATERIAL DE COMPUTACION</t>
  </si>
  <si>
    <t>GASTOS TRIBUTARIOS</t>
  </si>
  <si>
    <t>IMPUESTOS A LAS TRANSACCIONES</t>
  </si>
  <si>
    <t>IMPUESTO A LAS UTILIDADES DE LAS EMPRESAS</t>
  </si>
  <si>
    <t>TASAS Y PATENTES MUNICIPALES</t>
  </si>
  <si>
    <t>IMPUESTO AUTOMOTOR</t>
  </si>
  <si>
    <t>IMPTO.  A LA PROP. DE BIENES INMUEBLES</t>
  </si>
  <si>
    <t>INTERESES Y MTTO. DE VALOR TRIBUTOS</t>
  </si>
  <si>
    <t>IMPTO. MUNICIPAL A LAS TRANSFERENCIAS</t>
  </si>
  <si>
    <t>MULTA POR INCUMPL. A LOS DEBERES FORMALES</t>
  </si>
  <si>
    <t>INTERES POR TRIBUTOS FISCALES</t>
  </si>
  <si>
    <t>MANTENIMIENTOS Y REPARACIONES</t>
  </si>
  <si>
    <t>MANTENIMIENTO DE EDIFICIOS</t>
  </si>
  <si>
    <t>MANTENIMIENTO DE OFICINA</t>
  </si>
  <si>
    <t>MANTENIMIENTO DE MUEBLES Y ENSERES</t>
  </si>
  <si>
    <t>MANTENIMIENTO DE HERRAMIENTAS</t>
  </si>
  <si>
    <t>MANTENIMIENTO EQUIPO DE COMPUTACION</t>
  </si>
  <si>
    <t>MANTENIMIENTO SOFTWARE/HARDWARE</t>
  </si>
  <si>
    <t>GASTOS GENERALES</t>
  </si>
  <si>
    <t>SEGUROS</t>
  </si>
  <si>
    <t>GASTOS LEGALES Y OTROS</t>
  </si>
  <si>
    <t>TRANSPORTE-MOVILIZACIONES</t>
  </si>
  <si>
    <t>GASTOS EN MUEBLES DE OFICINA</t>
  </si>
  <si>
    <t>GASTOS EN EQUIPOS DE OFICINA</t>
  </si>
  <si>
    <t>GASTOS EN HERRAMIENTAS EN GENERAL</t>
  </si>
  <si>
    <t>GASTOS VARIOS</t>
  </si>
  <si>
    <t>GASTO EN REFRIGERIOS</t>
  </si>
  <si>
    <t>DEPRECIACION ACTIVOS FIJOS</t>
  </si>
  <si>
    <t>DEPRECIACION EDIFICIOS</t>
  </si>
  <si>
    <t>DEPRECIACION MUEBLES Y ENSERES</t>
  </si>
  <si>
    <t>DEPRECIACION HERRAMIENTAS</t>
  </si>
  <si>
    <t>DEPRECIACION MAQUINARIAS Y EQUIPOS</t>
  </si>
  <si>
    <t>DEPRECIACION VEHICULOS</t>
  </si>
  <si>
    <t>DEPRECIACION EQUIPOS DE COMPUTACION</t>
  </si>
  <si>
    <t>DEPRECIACION EQUIPOS E INSTALACIONES</t>
  </si>
  <si>
    <t>GASTOS BANCARIOS</t>
  </si>
  <si>
    <t>INTERESES BANCARIOS</t>
  </si>
  <si>
    <t>CASTIGO CUENTAS INCOBRABLES</t>
  </si>
  <si>
    <t>COMISIONES Y GASTOS BANCARIOS</t>
  </si>
  <si>
    <t>CERTIFICACIONES</t>
  </si>
  <si>
    <t>DIFRENCIA EN TIPO DE CAMBIO</t>
  </si>
  <si>
    <t>GASTOS DE COMERCIALIZACION</t>
  </si>
  <si>
    <t>PUBLICIDAD Y PROPAGANDA</t>
  </si>
  <si>
    <t>COMBUSTIBLE Y LUBRICANTES</t>
  </si>
  <si>
    <t>MARKETING</t>
  </si>
  <si>
    <t>UNIFORMES DE TRABAJO</t>
  </si>
  <si>
    <t>MANT. Y REPARACION DE VEHICULO</t>
  </si>
  <si>
    <t>PASAJES Y HOSPEDAJE</t>
  </si>
  <si>
    <t>ALQUILER ESPACIOS EN SUPERMERCADOS</t>
  </si>
  <si>
    <t>ALQUILER DE ISLAS EN SUPERMERCADOS</t>
  </si>
  <si>
    <t>NEVERAS</t>
  </si>
  <si>
    <t>IMPULSADORES EN SUPERMERCADOS VTAS.</t>
  </si>
  <si>
    <t>COMISIONES S/VTAS. AL PERSONAL</t>
  </si>
  <si>
    <t>COMISIONES S/VTAS. A TERCEROS</t>
  </si>
  <si>
    <t>GASTOS DE PRODUCCION</t>
  </si>
  <si>
    <t>FUMIGACION</t>
  </si>
  <si>
    <t>MANTENIMIENTO Y REP. DE MAQUINARIAS</t>
  </si>
  <si>
    <t>MANT.Y REPARACION EQUIPOS DE FRIO</t>
  </si>
  <si>
    <t>TRANSP.DE MATERIA PRIMA P/PROD.</t>
  </si>
  <si>
    <t>GUANTES GORROS BARBIJOS -PRODUCC.</t>
  </si>
  <si>
    <t>ANALISIS DE LABORATORIO - PRODUCC.</t>
  </si>
  <si>
    <t>MATERIALES Y OTROS P/PRODUCC.</t>
  </si>
  <si>
    <t>TRAMITES SANITARIOS Y OTROS</t>
  </si>
  <si>
    <t>GASTOS NO DEDUCIBLES</t>
  </si>
  <si>
    <t>RETIROS DE DINERO DE SOCIOS</t>
  </si>
  <si>
    <t>MULTAS Y SANCIONES - TRIBUTOS FISCALES</t>
  </si>
  <si>
    <t>AJUSTE P/INFLACION Y TENENCIA DE BIENES</t>
  </si>
  <si>
    <t>DIFERENCIA POR REDONDEOS</t>
  </si>
  <si>
    <t>MANTTO DE VALOR</t>
  </si>
  <si>
    <t>INVENTARIO DE MERCADERIA</t>
  </si>
  <si>
    <t>Balance de Apertura</t>
  </si>
  <si>
    <t>(Expresado en Bolivianos)</t>
  </si>
  <si>
    <t>ACTIVO CORRIENTE</t>
  </si>
  <si>
    <t>TOTAL ACTIVO CORRIENTE</t>
  </si>
  <si>
    <t>ACTIVO NO CORRIENTE</t>
  </si>
  <si>
    <t>TOTAL ACTIVO NO CORRIENTE</t>
  </si>
  <si>
    <t>TOTAL ACTIVOS</t>
  </si>
  <si>
    <t>TOTAL PASIVOS</t>
  </si>
  <si>
    <t>Capital Social</t>
  </si>
  <si>
    <t>CONTADOR</t>
  </si>
  <si>
    <t xml:space="preserve">GERENTE </t>
  </si>
  <si>
    <t xml:space="preserve">CUENTA CORRIENTE BANCO GANADERO </t>
  </si>
  <si>
    <t>VARIOS MUEBLES</t>
  </si>
  <si>
    <t>Glosa: registro por inicio de actividades</t>
  </si>
  <si>
    <t>IT</t>
  </si>
  <si>
    <t>IT POR PAGAR</t>
  </si>
  <si>
    <t>Glosa: Venta de mercaderia al contado según factura # 101</t>
  </si>
  <si>
    <t xml:space="preserve">INVENTARIO DE MERCADERIA </t>
  </si>
  <si>
    <t>Glosa: compra  al credito según Factura #490</t>
  </si>
  <si>
    <t xml:space="preserve">     ------------ CI-02 ----------</t>
  </si>
  <si>
    <t xml:space="preserve">           VENTAS</t>
  </si>
  <si>
    <t xml:space="preserve">     ------------ Ce-02 ----------</t>
  </si>
  <si>
    <t>MANTENIMIENTO MOBILIARIO</t>
  </si>
  <si>
    <t>CAJA M/N</t>
  </si>
  <si>
    <t>Glosa: por mantenimientos de muebles según factura #909</t>
  </si>
  <si>
    <t xml:space="preserve">     ------------ CE-03 ----------</t>
  </si>
  <si>
    <t>Glosa: por compra de mueble de escritorio según factura #1234</t>
  </si>
  <si>
    <t>BANCO BISAM/N</t>
  </si>
  <si>
    <t xml:space="preserve">Glosa: Rertiro del banco bisa </t>
  </si>
  <si>
    <t>ALQUILER DE OFICINA</t>
  </si>
  <si>
    <t>Glosa: pago de alquiler mes de noviembre segun factura #2356</t>
  </si>
  <si>
    <t xml:space="preserve">  </t>
  </si>
  <si>
    <t>INV. MERCADERIA</t>
  </si>
  <si>
    <t>DEUDAS POR PAGAR</t>
  </si>
  <si>
    <t>MANTENIMIENTO MOBILARIO</t>
  </si>
  <si>
    <t>Empresa: LOS ROBLES SA</t>
  </si>
  <si>
    <t>Prácticado Al: 1 de ABRIL del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</si>
</sst>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4" fontId="0" fillId="0" borderId="0" xfId="0" applyNumberFormat="1"/>
    <xf numFmtId="0" fontId="1" fillId="0" borderId="0" xfId="0" applyFont="1"/>
    <xf numFmtId="4" fontId="0" fillId="0" borderId="1" xfId="0" applyNumberFormat="1" applyBorder="1"/>
    <xf numFmtId="4" fontId="1" fillId="0" borderId="0" xfId="0" applyNumberFormat="1" applyFont="1"/>
    <xf numFmtId="0" fontId="1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/>
    <xf numFmtId="4" fontId="0" fillId="0" borderId="2" xfId="0" applyNumberFormat="1" applyBorder="1"/>
    <xf numFmtId="0" fontId="0" fillId="0" borderId="2" xfId="0" applyBorder="1" applyAlignment="1">
      <alignment horizontal="left"/>
    </xf>
    <xf numFmtId="4" fontId="2" fillId="0" borderId="2" xfId="0" applyNumberFormat="1" applyFont="1" applyBorder="1"/>
    <xf numFmtId="0" fontId="3" fillId="0" borderId="2" xfId="0" applyFont="1" applyBorder="1"/>
    <xf numFmtId="4" fontId="3" fillId="0" borderId="2" xfId="0" applyNumberFormat="1" applyFont="1" applyBorder="1"/>
    <xf numFmtId="4" fontId="1" fillId="0" borderId="1" xfId="0" applyNumberFormat="1" applyFont="1" applyBorder="1" applyAlignment="1">
      <alignment horizontal="center"/>
    </xf>
    <xf numFmtId="4" fontId="0" fillId="0" borderId="3" xfId="0" applyNumberFormat="1" applyBorder="1"/>
    <xf numFmtId="4" fontId="0" fillId="0" borderId="4" xfId="0" applyNumberFormat="1" applyBorder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4" fontId="0" fillId="2" borderId="6" xfId="0" applyNumberFormat="1" applyFill="1" applyBorder="1"/>
    <xf numFmtId="4" fontId="0" fillId="2" borderId="0" xfId="0" applyNumberFormat="1" applyFill="1"/>
    <xf numFmtId="4" fontId="1" fillId="0" borderId="4" xfId="0" applyNumberFormat="1" applyFont="1" applyBorder="1"/>
    <xf numFmtId="4" fontId="0" fillId="0" borderId="8" xfId="0" applyNumberFormat="1" applyBorder="1"/>
    <xf numFmtId="4" fontId="1" fillId="0" borderId="5" xfId="0" applyNumberFormat="1" applyFont="1" applyBorder="1"/>
    <xf numFmtId="4" fontId="5" fillId="0" borderId="0" xfId="0" applyNumberFormat="1" applyFont="1"/>
    <xf numFmtId="4" fontId="4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/>
    </xf>
    <xf numFmtId="0" fontId="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0" fillId="3" borderId="0" xfId="0" applyFill="1"/>
    <xf numFmtId="0" fontId="9" fillId="0" borderId="0" xfId="0" applyFont="1" applyAlignment="1">
      <alignment vertical="center"/>
    </xf>
    <xf numFmtId="0" fontId="0" fillId="4" borderId="0" xfId="0" applyFill="1"/>
    <xf numFmtId="0" fontId="11" fillId="0" borderId="0" xfId="0" applyFont="1"/>
    <xf numFmtId="2" fontId="0" fillId="0" borderId="0" xfId="0" applyNumberFormat="1"/>
    <xf numFmtId="43" fontId="0" fillId="0" borderId="0" xfId="0" applyNumberFormat="1"/>
    <xf numFmtId="0" fontId="12" fillId="0" borderId="0" xfId="0" applyFont="1"/>
    <xf numFmtId="0" fontId="13" fillId="0" borderId="0" xfId="0" applyFont="1"/>
    <xf numFmtId="43" fontId="11" fillId="0" borderId="0" xfId="0" applyNumberFormat="1" applyFont="1"/>
    <xf numFmtId="43" fontId="1" fillId="0" borderId="0" xfId="0" applyNumberFormat="1" applyFont="1"/>
    <xf numFmtId="2" fontId="1" fillId="0" borderId="11" xfId="0" applyNumberFormat="1" applyFont="1" applyBorder="1"/>
    <xf numFmtId="0" fontId="14" fillId="0" borderId="0" xfId="0" applyFont="1"/>
    <xf numFmtId="2" fontId="1" fillId="0" borderId="0" xfId="0" applyNumberFormat="1" applyFont="1"/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4" fontId="9" fillId="0" borderId="2" xfId="0" applyNumberFormat="1" applyFont="1" applyBorder="1"/>
    <xf numFmtId="4" fontId="1" fillId="5" borderId="1" xfId="0" applyNumberFormat="1" applyFont="1" applyFill="1" applyBorder="1" applyAlignment="1">
      <alignment horizontal="center"/>
    </xf>
    <xf numFmtId="4" fontId="0" fillId="5" borderId="0" xfId="0" applyNumberFormat="1" applyFill="1"/>
    <xf numFmtId="4" fontId="1" fillId="2" borderId="4" xfId="0" applyNumberFormat="1" applyFont="1" applyFill="1" applyBorder="1"/>
    <xf numFmtId="4" fontId="0" fillId="0" borderId="0" xfId="0" applyNumberFormat="1" applyBorder="1"/>
    <xf numFmtId="4" fontId="0" fillId="0" borderId="12" xfId="0" applyNumberFormat="1" applyBorder="1"/>
    <xf numFmtId="4" fontId="0" fillId="2" borderId="0" xfId="0" applyNumberFormat="1" applyFill="1" applyBorder="1"/>
    <xf numFmtId="4" fontId="0" fillId="0" borderId="13" xfId="0" applyNumberFormat="1" applyBorder="1"/>
    <xf numFmtId="4" fontId="0" fillId="0" borderId="14" xfId="0" applyNumberFormat="1" applyBorder="1"/>
    <xf numFmtId="4" fontId="1" fillId="5" borderId="1" xfId="0" applyNumberFormat="1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4" fontId="0" fillId="0" borderId="15" xfId="0" applyNumberFormat="1" applyBorder="1"/>
    <xf numFmtId="4" fontId="1" fillId="0" borderId="2" xfId="0" applyNumberFormat="1" applyFont="1" applyBorder="1" applyAlignment="1"/>
    <xf numFmtId="4" fontId="1" fillId="5" borderId="2" xfId="0" applyNumberFormat="1" applyFont="1" applyFill="1" applyBorder="1" applyAlignment="1"/>
    <xf numFmtId="4" fontId="15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B8D9-09F7-4CFC-8071-C7075A0A6976}">
  <dimension ref="A1:G268"/>
  <sheetViews>
    <sheetView workbookViewId="0">
      <selection activeCell="B18" sqref="B18"/>
    </sheetView>
  </sheetViews>
  <sheetFormatPr baseColWidth="10" defaultRowHeight="14.4" x14ac:dyDescent="0.3"/>
  <cols>
    <col min="1" max="1" width="11.5546875" style="37"/>
    <col min="2" max="2" width="53.88671875" bestFit="1" customWidth="1"/>
    <col min="3" max="3" width="20.33203125" hidden="1" customWidth="1"/>
    <col min="4" max="5" width="0" hidden="1" customWidth="1"/>
    <col min="6" max="6" width="0" style="39" hidden="1" customWidth="1"/>
    <col min="7" max="7" width="22.6640625" hidden="1" customWidth="1"/>
  </cols>
  <sheetData>
    <row r="1" spans="1:7" x14ac:dyDescent="0.3">
      <c r="A1" s="32" t="s">
        <v>63</v>
      </c>
      <c r="B1" s="2" t="s">
        <v>64</v>
      </c>
      <c r="C1" s="2" t="s">
        <v>65</v>
      </c>
      <c r="F1" s="33">
        <v>0</v>
      </c>
      <c r="G1" t="s">
        <v>66</v>
      </c>
    </row>
    <row r="2" spans="1:7" x14ac:dyDescent="0.3">
      <c r="A2" s="34">
        <v>1</v>
      </c>
      <c r="B2" s="35" t="s">
        <v>0</v>
      </c>
      <c r="C2" s="36"/>
      <c r="F2" s="33">
        <v>1</v>
      </c>
      <c r="G2" t="s">
        <v>67</v>
      </c>
    </row>
    <row r="3" spans="1:7" x14ac:dyDescent="0.3">
      <c r="A3" s="32">
        <v>101</v>
      </c>
      <c r="B3" s="2" t="s">
        <v>68</v>
      </c>
      <c r="C3" s="36"/>
      <c r="F3" s="33">
        <v>2</v>
      </c>
      <c r="G3" t="s">
        <v>69</v>
      </c>
    </row>
    <row r="4" spans="1:7" x14ac:dyDescent="0.3">
      <c r="A4" s="32">
        <v>10101</v>
      </c>
      <c r="B4" s="2" t="s">
        <v>70</v>
      </c>
      <c r="C4" s="36"/>
      <c r="F4" s="33">
        <v>3</v>
      </c>
      <c r="G4" t="s">
        <v>71</v>
      </c>
    </row>
    <row r="5" spans="1:7" x14ac:dyDescent="0.3">
      <c r="A5" s="37">
        <v>10101001</v>
      </c>
      <c r="B5" s="38" t="s">
        <v>72</v>
      </c>
      <c r="C5" s="36">
        <v>4</v>
      </c>
      <c r="F5" s="33">
        <v>4</v>
      </c>
      <c r="G5" t="s">
        <v>73</v>
      </c>
    </row>
    <row r="6" spans="1:7" x14ac:dyDescent="0.3">
      <c r="A6" s="32">
        <v>10102</v>
      </c>
      <c r="B6" s="2" t="s">
        <v>74</v>
      </c>
      <c r="C6" s="36"/>
    </row>
    <row r="7" spans="1:7" x14ac:dyDescent="0.3">
      <c r="A7" s="37">
        <v>10102001</v>
      </c>
      <c r="B7" s="38" t="s">
        <v>75</v>
      </c>
      <c r="C7" s="36">
        <v>4</v>
      </c>
    </row>
    <row r="8" spans="1:7" x14ac:dyDescent="0.3">
      <c r="A8" s="32">
        <v>10103</v>
      </c>
      <c r="B8" s="2" t="s">
        <v>76</v>
      </c>
      <c r="C8" s="36"/>
    </row>
    <row r="9" spans="1:7" x14ac:dyDescent="0.3">
      <c r="A9" s="37">
        <v>10103001</v>
      </c>
      <c r="B9" s="38" t="s">
        <v>77</v>
      </c>
      <c r="C9" s="36">
        <v>4</v>
      </c>
    </row>
    <row r="10" spans="1:7" x14ac:dyDescent="0.3">
      <c r="A10" s="37">
        <v>10103002</v>
      </c>
      <c r="B10" s="38" t="s">
        <v>78</v>
      </c>
      <c r="C10" s="36">
        <v>4</v>
      </c>
    </row>
    <row r="11" spans="1:7" x14ac:dyDescent="0.3">
      <c r="A11" s="37">
        <v>10103003</v>
      </c>
      <c r="B11" s="38" t="s">
        <v>79</v>
      </c>
      <c r="C11" s="36">
        <v>4</v>
      </c>
    </row>
    <row r="12" spans="1:7" x14ac:dyDescent="0.3">
      <c r="A12" s="37">
        <v>10103004</v>
      </c>
      <c r="B12" s="38" t="s">
        <v>80</v>
      </c>
      <c r="C12" s="36">
        <v>4</v>
      </c>
    </row>
    <row r="13" spans="1:7" x14ac:dyDescent="0.3">
      <c r="A13" s="32">
        <v>10104</v>
      </c>
      <c r="B13" s="2" t="s">
        <v>76</v>
      </c>
      <c r="C13" s="36"/>
    </row>
    <row r="14" spans="1:7" x14ac:dyDescent="0.3">
      <c r="A14" s="37">
        <v>10104001</v>
      </c>
      <c r="B14" s="38" t="s">
        <v>81</v>
      </c>
      <c r="C14" s="36">
        <v>4</v>
      </c>
    </row>
    <row r="15" spans="1:7" x14ac:dyDescent="0.3">
      <c r="A15" s="37">
        <v>10104002</v>
      </c>
      <c r="B15" s="38" t="s">
        <v>82</v>
      </c>
      <c r="C15" s="36">
        <v>4</v>
      </c>
    </row>
    <row r="16" spans="1:7" x14ac:dyDescent="0.3">
      <c r="A16" s="32">
        <v>102</v>
      </c>
      <c r="B16" s="2" t="s">
        <v>83</v>
      </c>
      <c r="C16" s="36"/>
    </row>
    <row r="17" spans="1:3" x14ac:dyDescent="0.3">
      <c r="A17" s="32">
        <v>10201</v>
      </c>
      <c r="B17" s="2" t="s">
        <v>84</v>
      </c>
      <c r="C17" s="36"/>
    </row>
    <row r="18" spans="1:3" x14ac:dyDescent="0.3">
      <c r="A18" s="37">
        <v>10201001</v>
      </c>
      <c r="B18" s="38" t="s">
        <v>85</v>
      </c>
      <c r="C18" s="36">
        <v>1</v>
      </c>
    </row>
    <row r="19" spans="1:3" x14ac:dyDescent="0.3">
      <c r="A19" s="32">
        <v>10203</v>
      </c>
      <c r="B19" s="2" t="s">
        <v>86</v>
      </c>
      <c r="C19" s="36"/>
    </row>
    <row r="20" spans="1:3" x14ac:dyDescent="0.3">
      <c r="A20" s="37">
        <v>10203001</v>
      </c>
      <c r="B20" t="s">
        <v>87</v>
      </c>
      <c r="C20" s="36">
        <v>1</v>
      </c>
    </row>
    <row r="21" spans="1:3" x14ac:dyDescent="0.3">
      <c r="A21" s="37">
        <v>10203005</v>
      </c>
      <c r="B21" t="s">
        <v>88</v>
      </c>
      <c r="C21" s="36">
        <v>1</v>
      </c>
    </row>
    <row r="22" spans="1:3" x14ac:dyDescent="0.3">
      <c r="A22" s="32">
        <v>10204</v>
      </c>
      <c r="B22" s="2" t="s">
        <v>89</v>
      </c>
      <c r="C22" s="36"/>
    </row>
    <row r="23" spans="1:3" x14ac:dyDescent="0.3">
      <c r="A23" s="37">
        <v>10204001</v>
      </c>
      <c r="B23" s="38" t="s">
        <v>90</v>
      </c>
      <c r="C23" s="36">
        <v>1</v>
      </c>
    </row>
    <row r="24" spans="1:3" x14ac:dyDescent="0.3">
      <c r="A24" s="37">
        <v>10204002</v>
      </c>
      <c r="B24" s="38" t="s">
        <v>91</v>
      </c>
      <c r="C24" s="36">
        <v>1</v>
      </c>
    </row>
    <row r="25" spans="1:3" x14ac:dyDescent="0.3">
      <c r="A25" s="37">
        <v>10204003</v>
      </c>
      <c r="B25" s="38" t="s">
        <v>92</v>
      </c>
      <c r="C25" s="36">
        <v>1</v>
      </c>
    </row>
    <row r="26" spans="1:3" x14ac:dyDescent="0.3">
      <c r="A26" s="37">
        <v>10204004</v>
      </c>
      <c r="B26" s="38" t="s">
        <v>93</v>
      </c>
      <c r="C26" s="36">
        <v>1</v>
      </c>
    </row>
    <row r="27" spans="1:3" x14ac:dyDescent="0.3">
      <c r="A27" s="32">
        <v>10205</v>
      </c>
      <c r="B27" s="2" t="s">
        <v>94</v>
      </c>
      <c r="C27" s="36"/>
    </row>
    <row r="28" spans="1:3" x14ac:dyDescent="0.3">
      <c r="A28" s="37">
        <v>10205001</v>
      </c>
      <c r="B28" s="38" t="s">
        <v>95</v>
      </c>
      <c r="C28" s="36">
        <v>1</v>
      </c>
    </row>
    <row r="29" spans="1:3" x14ac:dyDescent="0.3">
      <c r="A29" s="32">
        <v>10206</v>
      </c>
      <c r="B29" s="2" t="s">
        <v>96</v>
      </c>
      <c r="C29" s="36"/>
    </row>
    <row r="30" spans="1:3" x14ac:dyDescent="0.3">
      <c r="A30" s="40">
        <v>10206001</v>
      </c>
      <c r="B30" s="41" t="s">
        <v>97</v>
      </c>
      <c r="C30" s="36">
        <v>1</v>
      </c>
    </row>
    <row r="31" spans="1:3" x14ac:dyDescent="0.3">
      <c r="A31" s="37">
        <v>10206002</v>
      </c>
      <c r="B31" s="38" t="s">
        <v>98</v>
      </c>
      <c r="C31" s="36">
        <v>1</v>
      </c>
    </row>
    <row r="32" spans="1:3" x14ac:dyDescent="0.3">
      <c r="A32" s="32">
        <v>10207</v>
      </c>
      <c r="B32" s="2" t="s">
        <v>99</v>
      </c>
      <c r="C32" s="36"/>
    </row>
    <row r="33" spans="1:3" x14ac:dyDescent="0.3">
      <c r="A33" s="37">
        <v>10207001</v>
      </c>
      <c r="B33" t="s">
        <v>100</v>
      </c>
      <c r="C33" s="36">
        <v>1</v>
      </c>
    </row>
    <row r="34" spans="1:3" x14ac:dyDescent="0.3">
      <c r="A34" s="32">
        <v>103</v>
      </c>
      <c r="B34" s="2" t="s">
        <v>101</v>
      </c>
      <c r="C34" s="36"/>
    </row>
    <row r="35" spans="1:3" x14ac:dyDescent="0.3">
      <c r="A35" s="32">
        <v>10301</v>
      </c>
      <c r="B35" s="2" t="s">
        <v>102</v>
      </c>
      <c r="C35" s="36"/>
    </row>
    <row r="36" spans="1:3" x14ac:dyDescent="0.3">
      <c r="A36" s="37">
        <v>10301001</v>
      </c>
      <c r="B36" s="38" t="s">
        <v>15</v>
      </c>
      <c r="C36" s="36">
        <v>1</v>
      </c>
    </row>
    <row r="37" spans="1:3" x14ac:dyDescent="0.3">
      <c r="A37" s="32">
        <v>104</v>
      </c>
      <c r="B37" s="2" t="s">
        <v>103</v>
      </c>
      <c r="C37" s="36"/>
    </row>
    <row r="38" spans="1:3" x14ac:dyDescent="0.3">
      <c r="A38" s="32">
        <v>1</v>
      </c>
      <c r="B38" s="36" t="s">
        <v>16</v>
      </c>
      <c r="C38" s="36"/>
    </row>
    <row r="39" spans="1:3" x14ac:dyDescent="0.3">
      <c r="A39" s="32">
        <v>10401</v>
      </c>
      <c r="B39" s="2" t="s">
        <v>104</v>
      </c>
      <c r="C39" s="36"/>
    </row>
    <row r="40" spans="1:3" x14ac:dyDescent="0.3">
      <c r="A40" s="32">
        <v>105</v>
      </c>
      <c r="B40" s="2" t="s">
        <v>105</v>
      </c>
      <c r="C40" s="36"/>
    </row>
    <row r="41" spans="1:3" x14ac:dyDescent="0.3">
      <c r="A41" s="32">
        <v>10501</v>
      </c>
      <c r="B41" s="2" t="s">
        <v>106</v>
      </c>
      <c r="C41" s="36"/>
    </row>
    <row r="42" spans="1:3" x14ac:dyDescent="0.3">
      <c r="A42" s="37">
        <v>10501001</v>
      </c>
      <c r="B42" t="s">
        <v>106</v>
      </c>
      <c r="C42" s="36">
        <v>2</v>
      </c>
    </row>
    <row r="43" spans="1:3" x14ac:dyDescent="0.3">
      <c r="A43" s="32">
        <v>10502</v>
      </c>
      <c r="B43" s="2" t="s">
        <v>107</v>
      </c>
      <c r="C43" s="36"/>
    </row>
    <row r="44" spans="1:3" x14ac:dyDescent="0.3">
      <c r="A44" s="37">
        <v>10502001</v>
      </c>
      <c r="B44" t="s">
        <v>108</v>
      </c>
      <c r="C44" s="36">
        <v>2</v>
      </c>
    </row>
    <row r="45" spans="1:3" x14ac:dyDescent="0.3">
      <c r="A45" s="37">
        <v>10502002</v>
      </c>
      <c r="B45" t="s">
        <v>109</v>
      </c>
      <c r="C45" s="36">
        <v>2</v>
      </c>
    </row>
    <row r="46" spans="1:3" x14ac:dyDescent="0.3">
      <c r="A46" s="32">
        <v>10503</v>
      </c>
      <c r="B46" s="2" t="s">
        <v>11</v>
      </c>
      <c r="C46" s="36"/>
    </row>
    <row r="47" spans="1:3" x14ac:dyDescent="0.3">
      <c r="A47" s="37">
        <v>10503001</v>
      </c>
      <c r="B47" t="s">
        <v>11</v>
      </c>
      <c r="C47" s="36">
        <v>2</v>
      </c>
    </row>
    <row r="48" spans="1:3" x14ac:dyDescent="0.3">
      <c r="A48" s="37">
        <v>10503002</v>
      </c>
      <c r="B48" t="s">
        <v>110</v>
      </c>
      <c r="C48" s="36">
        <v>2</v>
      </c>
    </row>
    <row r="49" spans="1:3" x14ac:dyDescent="0.3">
      <c r="A49" s="32">
        <v>10504</v>
      </c>
      <c r="B49" s="2" t="s">
        <v>111</v>
      </c>
      <c r="C49" s="36"/>
    </row>
    <row r="50" spans="1:3" x14ac:dyDescent="0.3">
      <c r="A50" s="37">
        <v>10504001</v>
      </c>
      <c r="B50" s="38" t="s">
        <v>111</v>
      </c>
      <c r="C50" s="36">
        <v>2</v>
      </c>
    </row>
    <row r="51" spans="1:3" x14ac:dyDescent="0.3">
      <c r="A51" s="37">
        <v>10504002</v>
      </c>
      <c r="B51" s="38" t="s">
        <v>112</v>
      </c>
      <c r="C51" s="36">
        <v>2</v>
      </c>
    </row>
    <row r="52" spans="1:3" x14ac:dyDescent="0.3">
      <c r="A52" s="32">
        <v>10505</v>
      </c>
      <c r="B52" s="2" t="s">
        <v>113</v>
      </c>
      <c r="C52" s="36"/>
    </row>
    <row r="53" spans="1:3" x14ac:dyDescent="0.3">
      <c r="A53" s="37">
        <v>10505001</v>
      </c>
      <c r="B53" s="38" t="s">
        <v>114</v>
      </c>
      <c r="C53" s="36">
        <v>2</v>
      </c>
    </row>
    <row r="54" spans="1:3" x14ac:dyDescent="0.3">
      <c r="A54" s="37">
        <v>10505002</v>
      </c>
      <c r="B54" s="38" t="s">
        <v>115</v>
      </c>
      <c r="C54" s="36">
        <v>2</v>
      </c>
    </row>
    <row r="55" spans="1:3" x14ac:dyDescent="0.3">
      <c r="A55" s="32">
        <v>10506</v>
      </c>
      <c r="B55" s="2" t="s">
        <v>116</v>
      </c>
      <c r="C55" s="36"/>
    </row>
    <row r="56" spans="1:3" x14ac:dyDescent="0.3">
      <c r="A56" s="37">
        <v>10506001</v>
      </c>
      <c r="B56" s="38" t="s">
        <v>116</v>
      </c>
      <c r="C56" s="36">
        <v>2</v>
      </c>
    </row>
    <row r="57" spans="1:3" x14ac:dyDescent="0.3">
      <c r="A57" s="37">
        <v>10506002</v>
      </c>
      <c r="B57" s="38" t="s">
        <v>117</v>
      </c>
      <c r="C57" s="36">
        <v>2</v>
      </c>
    </row>
    <row r="58" spans="1:3" x14ac:dyDescent="0.3">
      <c r="A58" s="32">
        <v>10507</v>
      </c>
      <c r="B58" s="2" t="s">
        <v>12</v>
      </c>
      <c r="C58" s="36"/>
    </row>
    <row r="59" spans="1:3" x14ac:dyDescent="0.3">
      <c r="A59" s="37">
        <v>10507001</v>
      </c>
      <c r="B59" s="41" t="s">
        <v>12</v>
      </c>
      <c r="C59" s="36">
        <v>2</v>
      </c>
    </row>
    <row r="60" spans="1:3" x14ac:dyDescent="0.3">
      <c r="A60" s="37">
        <v>10507002</v>
      </c>
      <c r="B60" s="38" t="s">
        <v>118</v>
      </c>
      <c r="C60" s="36">
        <v>2</v>
      </c>
    </row>
    <row r="61" spans="1:3" x14ac:dyDescent="0.3">
      <c r="A61" s="32">
        <v>10508</v>
      </c>
      <c r="B61" s="2" t="s">
        <v>119</v>
      </c>
      <c r="C61" s="36"/>
    </row>
    <row r="62" spans="1:3" x14ac:dyDescent="0.3">
      <c r="A62" s="37">
        <v>10507001</v>
      </c>
      <c r="B62" s="38" t="s">
        <v>120</v>
      </c>
      <c r="C62" s="36">
        <v>2</v>
      </c>
    </row>
    <row r="63" spans="1:3" x14ac:dyDescent="0.3">
      <c r="A63" s="37">
        <v>10507002</v>
      </c>
      <c r="B63" s="38" t="s">
        <v>121</v>
      </c>
      <c r="C63" s="36">
        <v>2</v>
      </c>
    </row>
    <row r="64" spans="1:3" x14ac:dyDescent="0.3">
      <c r="A64" s="32">
        <v>106</v>
      </c>
      <c r="B64" s="2" t="s">
        <v>69</v>
      </c>
      <c r="C64" s="36"/>
    </row>
    <row r="65" spans="1:3" x14ac:dyDescent="0.3">
      <c r="A65" s="32">
        <v>10601</v>
      </c>
      <c r="B65" s="2" t="s">
        <v>122</v>
      </c>
      <c r="C65" s="36"/>
    </row>
    <row r="66" spans="1:3" x14ac:dyDescent="0.3">
      <c r="A66" s="37">
        <v>10601001</v>
      </c>
      <c r="B66" t="s">
        <v>123</v>
      </c>
      <c r="C66" s="36">
        <v>2</v>
      </c>
    </row>
    <row r="67" spans="1:3" x14ac:dyDescent="0.3">
      <c r="A67" s="32">
        <v>10602</v>
      </c>
      <c r="B67" s="2" t="s">
        <v>124</v>
      </c>
      <c r="C67" s="36"/>
    </row>
    <row r="68" spans="1:3" x14ac:dyDescent="0.3">
      <c r="A68" s="37">
        <v>10602001</v>
      </c>
      <c r="B68" t="s">
        <v>125</v>
      </c>
      <c r="C68" s="36">
        <v>1</v>
      </c>
    </row>
    <row r="69" spans="1:3" x14ac:dyDescent="0.3">
      <c r="A69" s="32">
        <v>107</v>
      </c>
      <c r="B69" s="2" t="s">
        <v>126</v>
      </c>
      <c r="C69" s="36"/>
    </row>
    <row r="70" spans="1:3" x14ac:dyDescent="0.3">
      <c r="A70" s="32">
        <v>10701</v>
      </c>
      <c r="B70" s="2" t="s">
        <v>127</v>
      </c>
      <c r="C70" s="36"/>
    </row>
    <row r="71" spans="1:3" x14ac:dyDescent="0.3">
      <c r="A71" s="37">
        <v>10701001</v>
      </c>
      <c r="B71" t="s">
        <v>127</v>
      </c>
      <c r="C71" s="36">
        <v>1</v>
      </c>
    </row>
    <row r="72" spans="1:3" x14ac:dyDescent="0.3">
      <c r="A72" s="34">
        <v>2</v>
      </c>
      <c r="B72" s="35" t="s">
        <v>1</v>
      </c>
      <c r="C72" s="36"/>
    </row>
    <row r="73" spans="1:3" x14ac:dyDescent="0.3">
      <c r="A73" s="32">
        <v>201</v>
      </c>
      <c r="B73" s="2" t="s">
        <v>128</v>
      </c>
      <c r="C73" s="36"/>
    </row>
    <row r="74" spans="1:3" x14ac:dyDescent="0.3">
      <c r="A74" s="32">
        <v>20101</v>
      </c>
      <c r="B74" s="2" t="s">
        <v>129</v>
      </c>
      <c r="C74" s="36"/>
    </row>
    <row r="75" spans="1:3" x14ac:dyDescent="0.3">
      <c r="A75" s="37">
        <v>20101001</v>
      </c>
      <c r="B75" s="38" t="s">
        <v>23</v>
      </c>
      <c r="C75" s="36">
        <v>1</v>
      </c>
    </row>
    <row r="76" spans="1:3" x14ac:dyDescent="0.3">
      <c r="A76" s="37">
        <v>20101002</v>
      </c>
      <c r="B76" s="38" t="s">
        <v>130</v>
      </c>
      <c r="C76" s="36">
        <v>1</v>
      </c>
    </row>
    <row r="77" spans="1:3" x14ac:dyDescent="0.3">
      <c r="A77" s="32">
        <v>20102</v>
      </c>
      <c r="B77" s="2" t="s">
        <v>131</v>
      </c>
      <c r="C77" s="36"/>
    </row>
    <row r="78" spans="1:3" x14ac:dyDescent="0.3">
      <c r="A78" s="37">
        <v>20102001</v>
      </c>
      <c r="B78" s="38" t="s">
        <v>132</v>
      </c>
      <c r="C78" s="36">
        <v>1</v>
      </c>
    </row>
    <row r="79" spans="1:3" x14ac:dyDescent="0.3">
      <c r="A79" s="37">
        <v>20102002</v>
      </c>
      <c r="B79" s="38" t="s">
        <v>133</v>
      </c>
      <c r="C79" s="36">
        <v>1</v>
      </c>
    </row>
    <row r="80" spans="1:3" x14ac:dyDescent="0.3">
      <c r="A80" s="37">
        <v>20102003</v>
      </c>
      <c r="B80" s="38" t="s">
        <v>134</v>
      </c>
      <c r="C80" s="36">
        <v>1</v>
      </c>
    </row>
    <row r="81" spans="1:3" x14ac:dyDescent="0.3">
      <c r="A81" s="37">
        <v>20102004</v>
      </c>
      <c r="B81" s="38" t="s">
        <v>135</v>
      </c>
      <c r="C81" s="36">
        <v>1</v>
      </c>
    </row>
    <row r="82" spans="1:3" x14ac:dyDescent="0.3">
      <c r="A82" s="37">
        <v>20102005</v>
      </c>
      <c r="B82" s="38" t="s">
        <v>136</v>
      </c>
      <c r="C82" s="36">
        <v>1</v>
      </c>
    </row>
    <row r="83" spans="1:3" x14ac:dyDescent="0.3">
      <c r="A83" s="37">
        <v>20102006</v>
      </c>
      <c r="B83" s="38" t="s">
        <v>137</v>
      </c>
      <c r="C83" s="36">
        <v>1</v>
      </c>
    </row>
    <row r="84" spans="1:3" x14ac:dyDescent="0.3">
      <c r="A84" s="32">
        <v>20103</v>
      </c>
      <c r="B84" s="2" t="s">
        <v>138</v>
      </c>
      <c r="C84" s="36"/>
    </row>
    <row r="85" spans="1:3" x14ac:dyDescent="0.3">
      <c r="A85" s="37">
        <v>20103001</v>
      </c>
      <c r="B85" t="s">
        <v>139</v>
      </c>
      <c r="C85" s="36">
        <v>1</v>
      </c>
    </row>
    <row r="86" spans="1:3" x14ac:dyDescent="0.3">
      <c r="A86" s="37">
        <v>20103002</v>
      </c>
      <c r="B86" t="s">
        <v>140</v>
      </c>
      <c r="C86" s="36">
        <v>1</v>
      </c>
    </row>
    <row r="87" spans="1:3" x14ac:dyDescent="0.3">
      <c r="A87" s="32">
        <v>20104</v>
      </c>
      <c r="B87" s="2" t="s">
        <v>141</v>
      </c>
      <c r="C87" s="36"/>
    </row>
    <row r="88" spans="1:3" x14ac:dyDescent="0.3">
      <c r="A88" s="37">
        <v>20104001</v>
      </c>
      <c r="B88" s="41" t="s">
        <v>142</v>
      </c>
      <c r="C88" s="36">
        <v>1</v>
      </c>
    </row>
    <row r="89" spans="1:3" x14ac:dyDescent="0.3">
      <c r="A89" s="37">
        <v>20104002</v>
      </c>
      <c r="B89" s="38" t="s">
        <v>143</v>
      </c>
      <c r="C89" s="36">
        <v>1</v>
      </c>
    </row>
    <row r="90" spans="1:3" x14ac:dyDescent="0.3">
      <c r="A90" s="37">
        <v>20104003</v>
      </c>
      <c r="B90" s="38" t="s">
        <v>144</v>
      </c>
      <c r="C90" s="36">
        <v>1</v>
      </c>
    </row>
    <row r="91" spans="1:3" x14ac:dyDescent="0.3">
      <c r="A91" s="37">
        <v>20104004</v>
      </c>
      <c r="B91" s="41" t="s">
        <v>33</v>
      </c>
      <c r="C91" s="36">
        <v>1</v>
      </c>
    </row>
    <row r="92" spans="1:3" x14ac:dyDescent="0.3">
      <c r="A92" s="37">
        <v>20104005</v>
      </c>
      <c r="B92" t="s">
        <v>145</v>
      </c>
      <c r="C92" s="36">
        <v>1</v>
      </c>
    </row>
    <row r="93" spans="1:3" x14ac:dyDescent="0.3">
      <c r="A93" s="37">
        <v>20104006</v>
      </c>
      <c r="B93" t="s">
        <v>146</v>
      </c>
      <c r="C93" s="36">
        <v>1</v>
      </c>
    </row>
    <row r="94" spans="1:3" x14ac:dyDescent="0.3">
      <c r="A94" s="37">
        <v>20104007</v>
      </c>
      <c r="B94" t="s">
        <v>147</v>
      </c>
      <c r="C94" s="36">
        <v>1</v>
      </c>
    </row>
    <row r="95" spans="1:3" x14ac:dyDescent="0.3">
      <c r="A95" s="32">
        <v>20105</v>
      </c>
      <c r="B95" s="42" t="s">
        <v>148</v>
      </c>
      <c r="C95" s="36"/>
    </row>
    <row r="96" spans="1:3" x14ac:dyDescent="0.3">
      <c r="A96" s="37">
        <v>20105001</v>
      </c>
      <c r="B96" s="43" t="s">
        <v>57</v>
      </c>
      <c r="C96" s="36">
        <v>1</v>
      </c>
    </row>
    <row r="97" spans="1:3" x14ac:dyDescent="0.3">
      <c r="A97" s="37">
        <v>20105002</v>
      </c>
      <c r="B97" s="41" t="s">
        <v>51</v>
      </c>
      <c r="C97" s="36">
        <v>1</v>
      </c>
    </row>
    <row r="98" spans="1:3" x14ac:dyDescent="0.3">
      <c r="A98" s="37">
        <v>20105003</v>
      </c>
      <c r="B98" s="43" t="s">
        <v>56</v>
      </c>
      <c r="C98" s="36">
        <v>1</v>
      </c>
    </row>
    <row r="99" spans="1:3" x14ac:dyDescent="0.3">
      <c r="A99" s="37">
        <v>20105004</v>
      </c>
      <c r="B99" s="38" t="s">
        <v>149</v>
      </c>
      <c r="C99" s="36">
        <v>1</v>
      </c>
    </row>
    <row r="100" spans="1:3" x14ac:dyDescent="0.3">
      <c r="A100" s="32">
        <v>20106</v>
      </c>
      <c r="B100" s="2" t="s">
        <v>150</v>
      </c>
      <c r="C100" s="36"/>
    </row>
    <row r="101" spans="1:3" x14ac:dyDescent="0.3">
      <c r="A101" s="37">
        <v>20106001</v>
      </c>
      <c r="B101" s="38" t="s">
        <v>151</v>
      </c>
      <c r="C101" s="36">
        <v>1</v>
      </c>
    </row>
    <row r="102" spans="1:3" x14ac:dyDescent="0.3">
      <c r="A102" s="37">
        <v>20106002</v>
      </c>
      <c r="B102" s="43" t="s">
        <v>58</v>
      </c>
      <c r="C102" s="36">
        <v>1</v>
      </c>
    </row>
    <row r="103" spans="1:3" x14ac:dyDescent="0.3">
      <c r="A103" s="37">
        <v>20106003</v>
      </c>
      <c r="B103" s="43" t="s">
        <v>60</v>
      </c>
      <c r="C103" s="36">
        <v>1</v>
      </c>
    </row>
    <row r="104" spans="1:3" x14ac:dyDescent="0.3">
      <c r="A104" s="37">
        <v>20106004</v>
      </c>
      <c r="B104" s="38" t="s">
        <v>152</v>
      </c>
      <c r="C104" s="36">
        <v>1</v>
      </c>
    </row>
    <row r="105" spans="1:3" x14ac:dyDescent="0.3">
      <c r="A105" s="37">
        <v>20106005</v>
      </c>
      <c r="B105" s="38" t="s">
        <v>153</v>
      </c>
      <c r="C105" s="36">
        <v>1</v>
      </c>
    </row>
    <row r="106" spans="1:3" x14ac:dyDescent="0.3">
      <c r="A106" s="37">
        <v>20106006</v>
      </c>
      <c r="B106" s="38" t="s">
        <v>154</v>
      </c>
      <c r="C106" s="36">
        <v>1</v>
      </c>
    </row>
    <row r="107" spans="1:3" x14ac:dyDescent="0.3">
      <c r="A107" s="37">
        <v>20106007</v>
      </c>
      <c r="B107" s="38" t="s">
        <v>155</v>
      </c>
      <c r="C107" s="36">
        <v>1</v>
      </c>
    </row>
    <row r="108" spans="1:3" x14ac:dyDescent="0.3">
      <c r="A108" s="32">
        <v>202</v>
      </c>
      <c r="B108" s="2" t="s">
        <v>156</v>
      </c>
      <c r="C108" s="36"/>
    </row>
    <row r="109" spans="1:3" x14ac:dyDescent="0.3">
      <c r="A109" s="32">
        <v>20201</v>
      </c>
      <c r="B109" s="2" t="s">
        <v>157</v>
      </c>
      <c r="C109" s="36"/>
    </row>
    <row r="110" spans="1:3" x14ac:dyDescent="0.3">
      <c r="A110" s="32">
        <v>2020101</v>
      </c>
      <c r="B110" s="2" t="s">
        <v>59</v>
      </c>
      <c r="C110" s="36"/>
    </row>
    <row r="111" spans="1:3" x14ac:dyDescent="0.3">
      <c r="A111" s="37">
        <v>20201001</v>
      </c>
      <c r="B111" s="44" t="s">
        <v>59</v>
      </c>
      <c r="C111" s="36">
        <v>1</v>
      </c>
    </row>
    <row r="112" spans="1:3" hidden="1" x14ac:dyDescent="0.3">
      <c r="A112" s="32">
        <v>2020201</v>
      </c>
      <c r="B112" s="2" t="s">
        <v>158</v>
      </c>
      <c r="C112" s="36"/>
    </row>
    <row r="113" spans="1:3" hidden="1" x14ac:dyDescent="0.3">
      <c r="A113" s="37">
        <v>20202001</v>
      </c>
      <c r="B113" t="s">
        <v>158</v>
      </c>
      <c r="C113" s="36">
        <v>1</v>
      </c>
    </row>
    <row r="114" spans="1:3" x14ac:dyDescent="0.3">
      <c r="A114" s="32">
        <v>2020301</v>
      </c>
      <c r="B114" s="2" t="s">
        <v>159</v>
      </c>
      <c r="C114" s="36"/>
    </row>
    <row r="115" spans="1:3" x14ac:dyDescent="0.3">
      <c r="A115" s="37">
        <v>20203001</v>
      </c>
      <c r="B115" s="45" t="s">
        <v>160</v>
      </c>
      <c r="C115" s="36">
        <v>3</v>
      </c>
    </row>
    <row r="116" spans="1:3" x14ac:dyDescent="0.3">
      <c r="A116" s="37">
        <v>20203002</v>
      </c>
      <c r="B116" s="45" t="s">
        <v>161</v>
      </c>
      <c r="C116" s="36">
        <v>3</v>
      </c>
    </row>
    <row r="117" spans="1:3" x14ac:dyDescent="0.3">
      <c r="A117" s="34">
        <v>3</v>
      </c>
      <c r="B117" s="35" t="s">
        <v>2</v>
      </c>
      <c r="C117" s="36"/>
    </row>
    <row r="118" spans="1:3" x14ac:dyDescent="0.3">
      <c r="A118" s="32">
        <v>301</v>
      </c>
      <c r="B118" s="2" t="s">
        <v>48</v>
      </c>
      <c r="C118" s="36"/>
    </row>
    <row r="119" spans="1:3" x14ac:dyDescent="0.3">
      <c r="A119" s="32">
        <v>30101</v>
      </c>
      <c r="B119" s="2" t="s">
        <v>162</v>
      </c>
      <c r="C119" s="36"/>
    </row>
    <row r="120" spans="1:3" x14ac:dyDescent="0.3">
      <c r="A120" s="37">
        <v>30101001</v>
      </c>
      <c r="B120" t="s">
        <v>48</v>
      </c>
      <c r="C120" s="36">
        <v>3</v>
      </c>
    </row>
    <row r="121" spans="1:3" x14ac:dyDescent="0.3">
      <c r="A121" s="32">
        <v>302</v>
      </c>
      <c r="B121" s="2" t="s">
        <v>163</v>
      </c>
      <c r="C121" s="36"/>
    </row>
    <row r="122" spans="1:3" x14ac:dyDescent="0.3">
      <c r="A122" s="32">
        <v>30201</v>
      </c>
      <c r="B122" s="2" t="s">
        <v>163</v>
      </c>
      <c r="C122" s="36"/>
    </row>
    <row r="123" spans="1:3" x14ac:dyDescent="0.3">
      <c r="A123" s="37">
        <v>30201001</v>
      </c>
      <c r="B123" t="s">
        <v>164</v>
      </c>
      <c r="C123" s="36">
        <v>3</v>
      </c>
    </row>
    <row r="124" spans="1:3" x14ac:dyDescent="0.3">
      <c r="A124" s="37">
        <v>30201002</v>
      </c>
      <c r="B124" t="s">
        <v>165</v>
      </c>
      <c r="C124" s="36">
        <v>3</v>
      </c>
    </row>
    <row r="125" spans="1:3" x14ac:dyDescent="0.3">
      <c r="A125" s="32">
        <v>303</v>
      </c>
      <c r="B125" s="2" t="s">
        <v>166</v>
      </c>
      <c r="C125" s="36"/>
    </row>
    <row r="126" spans="1:3" x14ac:dyDescent="0.3">
      <c r="A126" s="32">
        <v>30301</v>
      </c>
      <c r="B126" s="2" t="s">
        <v>166</v>
      </c>
      <c r="C126" s="36"/>
    </row>
    <row r="127" spans="1:3" x14ac:dyDescent="0.3">
      <c r="A127" s="37">
        <v>30301001</v>
      </c>
      <c r="B127" t="s">
        <v>167</v>
      </c>
      <c r="C127" s="36">
        <v>3</v>
      </c>
    </row>
    <row r="128" spans="1:3" x14ac:dyDescent="0.3">
      <c r="A128" s="32">
        <v>304</v>
      </c>
      <c r="B128" s="2" t="s">
        <v>168</v>
      </c>
      <c r="C128" s="36"/>
    </row>
    <row r="129" spans="1:3" x14ac:dyDescent="0.3">
      <c r="A129" s="32">
        <v>30401</v>
      </c>
      <c r="B129" s="2" t="s">
        <v>168</v>
      </c>
      <c r="C129" s="36"/>
    </row>
    <row r="130" spans="1:3" x14ac:dyDescent="0.3">
      <c r="A130" s="37">
        <v>30401001</v>
      </c>
      <c r="B130" t="s">
        <v>169</v>
      </c>
      <c r="C130" s="36">
        <v>3</v>
      </c>
    </row>
    <row r="131" spans="1:3" x14ac:dyDescent="0.3">
      <c r="A131" s="37">
        <v>30401002</v>
      </c>
      <c r="B131" t="s">
        <v>170</v>
      </c>
      <c r="C131" s="36">
        <v>3</v>
      </c>
    </row>
    <row r="132" spans="1:3" x14ac:dyDescent="0.3">
      <c r="A132" s="34">
        <v>4</v>
      </c>
      <c r="B132" s="35" t="s">
        <v>171</v>
      </c>
      <c r="C132" s="36"/>
    </row>
    <row r="133" spans="1:3" x14ac:dyDescent="0.3">
      <c r="A133" s="32">
        <v>401</v>
      </c>
      <c r="B133" s="2" t="s">
        <v>172</v>
      </c>
      <c r="C133" s="36"/>
    </row>
    <row r="134" spans="1:3" x14ac:dyDescent="0.3">
      <c r="A134" s="32">
        <v>40101</v>
      </c>
      <c r="B134" s="2" t="s">
        <v>173</v>
      </c>
      <c r="C134" s="36"/>
    </row>
    <row r="135" spans="1:3" x14ac:dyDescent="0.3">
      <c r="A135" s="40">
        <v>40101001</v>
      </c>
      <c r="B135" s="36" t="s">
        <v>49</v>
      </c>
      <c r="C135" s="36"/>
    </row>
    <row r="136" spans="1:3" x14ac:dyDescent="0.3">
      <c r="A136" s="37">
        <v>40101003</v>
      </c>
      <c r="B136" t="s">
        <v>174</v>
      </c>
      <c r="C136" s="36"/>
    </row>
    <row r="137" spans="1:3" x14ac:dyDescent="0.3">
      <c r="A137" s="37">
        <v>40101004</v>
      </c>
      <c r="B137" t="s">
        <v>175</v>
      </c>
      <c r="C137" s="36"/>
    </row>
    <row r="138" spans="1:3" x14ac:dyDescent="0.3">
      <c r="A138" s="37">
        <v>40101005</v>
      </c>
      <c r="B138" t="s">
        <v>21</v>
      </c>
      <c r="C138" s="36"/>
    </row>
    <row r="139" spans="1:3" x14ac:dyDescent="0.3">
      <c r="A139" s="32">
        <v>402</v>
      </c>
      <c r="B139" s="2" t="s">
        <v>176</v>
      </c>
      <c r="C139" s="36"/>
    </row>
    <row r="140" spans="1:3" x14ac:dyDescent="0.3">
      <c r="A140" s="32">
        <v>40201</v>
      </c>
      <c r="B140" s="2" t="s">
        <v>177</v>
      </c>
      <c r="C140" s="36"/>
    </row>
    <row r="141" spans="1:3" x14ac:dyDescent="0.3">
      <c r="A141" s="37">
        <v>40201001</v>
      </c>
      <c r="B141" t="s">
        <v>178</v>
      </c>
      <c r="C141" s="36"/>
    </row>
    <row r="142" spans="1:3" x14ac:dyDescent="0.3">
      <c r="A142" s="37">
        <v>40201002</v>
      </c>
      <c r="B142" t="s">
        <v>61</v>
      </c>
      <c r="C142" s="36"/>
    </row>
    <row r="143" spans="1:3" x14ac:dyDescent="0.3">
      <c r="A143" s="37">
        <v>40201003</v>
      </c>
      <c r="B143" t="s">
        <v>179</v>
      </c>
      <c r="C143" s="36"/>
    </row>
    <row r="144" spans="1:3" x14ac:dyDescent="0.3">
      <c r="A144" s="37">
        <v>40201004</v>
      </c>
      <c r="B144" t="s">
        <v>180</v>
      </c>
      <c r="C144" s="36"/>
    </row>
    <row r="145" spans="1:3" x14ac:dyDescent="0.3">
      <c r="A145" s="37">
        <v>40201005</v>
      </c>
      <c r="B145" t="s">
        <v>181</v>
      </c>
      <c r="C145" s="36"/>
    </row>
    <row r="146" spans="1:3" x14ac:dyDescent="0.3">
      <c r="A146" s="32">
        <v>40202</v>
      </c>
      <c r="B146" s="2" t="s">
        <v>182</v>
      </c>
      <c r="C146" s="36"/>
    </row>
    <row r="147" spans="1:3" x14ac:dyDescent="0.3">
      <c r="A147" s="37">
        <v>40202001</v>
      </c>
      <c r="B147" t="s">
        <v>183</v>
      </c>
      <c r="C147" s="36"/>
    </row>
    <row r="148" spans="1:3" x14ac:dyDescent="0.3">
      <c r="A148" s="37">
        <v>40202002</v>
      </c>
      <c r="B148" t="s">
        <v>184</v>
      </c>
      <c r="C148" s="36"/>
    </row>
    <row r="149" spans="1:3" x14ac:dyDescent="0.3">
      <c r="A149" s="37">
        <v>40202003</v>
      </c>
      <c r="B149" t="s">
        <v>185</v>
      </c>
      <c r="C149" s="36"/>
    </row>
    <row r="150" spans="1:3" x14ac:dyDescent="0.3">
      <c r="A150" s="37">
        <v>40202004</v>
      </c>
      <c r="B150" t="s">
        <v>186</v>
      </c>
      <c r="C150" s="36"/>
    </row>
    <row r="151" spans="1:3" x14ac:dyDescent="0.3">
      <c r="A151" s="34">
        <v>5</v>
      </c>
      <c r="B151" s="35" t="s">
        <v>187</v>
      </c>
      <c r="C151" s="36"/>
    </row>
    <row r="152" spans="1:3" x14ac:dyDescent="0.3">
      <c r="A152" s="32">
        <v>501</v>
      </c>
      <c r="B152" s="2" t="s">
        <v>187</v>
      </c>
      <c r="C152" s="36"/>
    </row>
    <row r="153" spans="1:3" x14ac:dyDescent="0.3">
      <c r="A153" s="32">
        <v>50101</v>
      </c>
      <c r="B153" s="2" t="s">
        <v>188</v>
      </c>
      <c r="C153" s="36"/>
    </row>
    <row r="154" spans="1:3" x14ac:dyDescent="0.3">
      <c r="A154" s="37">
        <v>50101001</v>
      </c>
      <c r="B154" t="s">
        <v>189</v>
      </c>
      <c r="C154" s="36"/>
    </row>
    <row r="155" spans="1:3" x14ac:dyDescent="0.3">
      <c r="A155" s="37">
        <v>50101002</v>
      </c>
      <c r="B155" t="s">
        <v>190</v>
      </c>
      <c r="C155" s="36"/>
    </row>
    <row r="156" spans="1:3" x14ac:dyDescent="0.3">
      <c r="A156" s="37">
        <v>50101003</v>
      </c>
      <c r="B156" t="s">
        <v>191</v>
      </c>
      <c r="C156" s="36"/>
    </row>
    <row r="157" spans="1:3" x14ac:dyDescent="0.3">
      <c r="A157" s="37">
        <v>50101004</v>
      </c>
      <c r="B157" t="s">
        <v>192</v>
      </c>
      <c r="C157" s="36"/>
    </row>
    <row r="158" spans="1:3" x14ac:dyDescent="0.3">
      <c r="A158" s="34">
        <v>6</v>
      </c>
      <c r="B158" s="35" t="s">
        <v>193</v>
      </c>
      <c r="C158" s="36"/>
    </row>
    <row r="159" spans="1:3" x14ac:dyDescent="0.3">
      <c r="A159" s="32">
        <v>601</v>
      </c>
      <c r="B159" s="2" t="s">
        <v>194</v>
      </c>
      <c r="C159" s="36"/>
    </row>
    <row r="160" spans="1:3" x14ac:dyDescent="0.3">
      <c r="A160" s="32">
        <v>60101</v>
      </c>
      <c r="B160" s="2" t="s">
        <v>195</v>
      </c>
      <c r="C160" s="36"/>
    </row>
    <row r="161" spans="1:3" x14ac:dyDescent="0.3">
      <c r="A161" s="37">
        <v>60101001</v>
      </c>
      <c r="B161" s="46" t="s">
        <v>24</v>
      </c>
      <c r="C161" s="36"/>
    </row>
    <row r="162" spans="1:3" x14ac:dyDescent="0.3">
      <c r="A162" s="32">
        <v>60102</v>
      </c>
      <c r="B162" s="2" t="s">
        <v>196</v>
      </c>
      <c r="C162" s="36"/>
    </row>
    <row r="163" spans="1:3" x14ac:dyDescent="0.3">
      <c r="A163" s="37">
        <v>60102001</v>
      </c>
      <c r="B163" t="s">
        <v>197</v>
      </c>
      <c r="C163" s="36"/>
    </row>
    <row r="164" spans="1:3" x14ac:dyDescent="0.3">
      <c r="A164" s="37">
        <v>60102002</v>
      </c>
      <c r="B164" t="s">
        <v>198</v>
      </c>
      <c r="C164" s="36"/>
    </row>
    <row r="165" spans="1:3" x14ac:dyDescent="0.3">
      <c r="A165" s="37">
        <v>60102003</v>
      </c>
      <c r="B165" t="s">
        <v>199</v>
      </c>
      <c r="C165" s="36"/>
    </row>
    <row r="166" spans="1:3" x14ac:dyDescent="0.3">
      <c r="A166" s="37">
        <v>60102004</v>
      </c>
      <c r="B166" t="s">
        <v>200</v>
      </c>
      <c r="C166" s="36"/>
    </row>
    <row r="167" spans="1:3" x14ac:dyDescent="0.3">
      <c r="A167" s="37">
        <v>60102005</v>
      </c>
      <c r="B167" s="44" t="s">
        <v>53</v>
      </c>
      <c r="C167" s="36"/>
    </row>
    <row r="168" spans="1:3" x14ac:dyDescent="0.3">
      <c r="A168" s="37">
        <v>60102006</v>
      </c>
      <c r="B168" s="44" t="s">
        <v>54</v>
      </c>
      <c r="C168" s="36"/>
    </row>
    <row r="169" spans="1:3" x14ac:dyDescent="0.3">
      <c r="A169" s="37">
        <v>60102007</v>
      </c>
      <c r="B169" s="44" t="s">
        <v>55</v>
      </c>
      <c r="C169" s="36"/>
    </row>
    <row r="170" spans="1:3" x14ac:dyDescent="0.3">
      <c r="A170" s="37">
        <v>60102008</v>
      </c>
      <c r="B170" t="s">
        <v>201</v>
      </c>
      <c r="C170" s="36"/>
    </row>
    <row r="171" spans="1:3" x14ac:dyDescent="0.3">
      <c r="A171" s="37">
        <v>60102009</v>
      </c>
      <c r="B171" s="44" t="s">
        <v>52</v>
      </c>
      <c r="C171" s="36"/>
    </row>
    <row r="172" spans="1:3" x14ac:dyDescent="0.3">
      <c r="A172" s="37">
        <v>60102010</v>
      </c>
      <c r="B172" t="s">
        <v>202</v>
      </c>
      <c r="C172" s="36"/>
    </row>
    <row r="173" spans="1:3" x14ac:dyDescent="0.3">
      <c r="A173" s="37">
        <v>60102011</v>
      </c>
      <c r="B173" t="s">
        <v>203</v>
      </c>
      <c r="C173" s="36"/>
    </row>
    <row r="174" spans="1:3" x14ac:dyDescent="0.3">
      <c r="A174" s="37">
        <v>60102012</v>
      </c>
      <c r="B174" t="s">
        <v>204</v>
      </c>
      <c r="C174" s="36"/>
    </row>
    <row r="175" spans="1:3" x14ac:dyDescent="0.3">
      <c r="A175" s="37">
        <v>60102013</v>
      </c>
      <c r="B175" t="s">
        <v>205</v>
      </c>
      <c r="C175" s="36"/>
    </row>
    <row r="176" spans="1:3" x14ac:dyDescent="0.3">
      <c r="A176" s="32">
        <v>60103</v>
      </c>
      <c r="B176" s="2" t="s">
        <v>206</v>
      </c>
      <c r="C176" s="36"/>
    </row>
    <row r="177" spans="1:3" x14ac:dyDescent="0.3">
      <c r="A177" s="37">
        <v>60103001</v>
      </c>
      <c r="B177" s="44" t="s">
        <v>26</v>
      </c>
      <c r="C177" s="36"/>
    </row>
    <row r="178" spans="1:3" x14ac:dyDescent="0.3">
      <c r="A178" s="37">
        <v>60103002</v>
      </c>
      <c r="B178" t="s">
        <v>207</v>
      </c>
      <c r="C178" s="36"/>
    </row>
    <row r="179" spans="1:3" x14ac:dyDescent="0.3">
      <c r="A179" s="37">
        <v>60103003</v>
      </c>
      <c r="B179" t="s">
        <v>208</v>
      </c>
      <c r="C179" s="36"/>
    </row>
    <row r="180" spans="1:3" x14ac:dyDescent="0.3">
      <c r="A180" s="37">
        <v>60103004</v>
      </c>
      <c r="B180" t="s">
        <v>209</v>
      </c>
      <c r="C180" s="36"/>
    </row>
    <row r="181" spans="1:3" x14ac:dyDescent="0.3">
      <c r="A181" s="37">
        <v>60103005</v>
      </c>
      <c r="B181" t="s">
        <v>210</v>
      </c>
      <c r="C181" s="36"/>
    </row>
    <row r="182" spans="1:3" x14ac:dyDescent="0.3">
      <c r="A182" s="32">
        <v>60104</v>
      </c>
      <c r="B182" s="2" t="s">
        <v>211</v>
      </c>
      <c r="C182" s="36"/>
    </row>
    <row r="183" spans="1:3" x14ac:dyDescent="0.3">
      <c r="A183" s="40">
        <v>60104001</v>
      </c>
      <c r="B183" s="36" t="s">
        <v>212</v>
      </c>
      <c r="C183" s="36"/>
    </row>
    <row r="184" spans="1:3" x14ac:dyDescent="0.3">
      <c r="A184" s="37">
        <v>60104002</v>
      </c>
      <c r="B184" t="s">
        <v>213</v>
      </c>
      <c r="C184" s="36"/>
    </row>
    <row r="185" spans="1:3" x14ac:dyDescent="0.3">
      <c r="A185" s="37">
        <v>60104003</v>
      </c>
      <c r="B185" t="s">
        <v>214</v>
      </c>
      <c r="C185" s="36"/>
    </row>
    <row r="186" spans="1:3" x14ac:dyDescent="0.3">
      <c r="A186" s="37">
        <v>60104004</v>
      </c>
      <c r="B186" t="s">
        <v>215</v>
      </c>
      <c r="C186" s="36"/>
    </row>
    <row r="187" spans="1:3" x14ac:dyDescent="0.3">
      <c r="A187" s="37">
        <v>60104005</v>
      </c>
      <c r="B187" t="s">
        <v>216</v>
      </c>
      <c r="C187" s="36"/>
    </row>
    <row r="188" spans="1:3" x14ac:dyDescent="0.3">
      <c r="A188" s="37">
        <v>60104006</v>
      </c>
      <c r="B188" t="s">
        <v>217</v>
      </c>
      <c r="C188" s="36"/>
    </row>
    <row r="189" spans="1:3" x14ac:dyDescent="0.3">
      <c r="A189" s="32">
        <v>60105</v>
      </c>
      <c r="B189" s="2" t="s">
        <v>131</v>
      </c>
      <c r="C189" s="36"/>
    </row>
    <row r="190" spans="1:3" x14ac:dyDescent="0.3">
      <c r="A190" s="37">
        <v>60105001</v>
      </c>
      <c r="B190" t="s">
        <v>218</v>
      </c>
      <c r="C190" s="36"/>
    </row>
    <row r="191" spans="1:3" x14ac:dyDescent="0.3">
      <c r="A191" s="37">
        <v>60105002</v>
      </c>
      <c r="B191" t="s">
        <v>219</v>
      </c>
      <c r="C191" s="36"/>
    </row>
    <row r="192" spans="1:3" x14ac:dyDescent="0.3">
      <c r="A192" s="37">
        <v>60105003</v>
      </c>
      <c r="B192" t="s">
        <v>220</v>
      </c>
      <c r="C192" s="36"/>
    </row>
    <row r="193" spans="1:3" x14ac:dyDescent="0.3">
      <c r="A193" s="37">
        <v>60105004</v>
      </c>
      <c r="B193" t="s">
        <v>221</v>
      </c>
      <c r="C193" s="36"/>
    </row>
    <row r="194" spans="1:3" x14ac:dyDescent="0.3">
      <c r="A194" s="37">
        <v>60105005</v>
      </c>
      <c r="B194" t="s">
        <v>222</v>
      </c>
      <c r="C194" s="36"/>
    </row>
    <row r="195" spans="1:3" x14ac:dyDescent="0.3">
      <c r="A195" s="32">
        <v>60106</v>
      </c>
      <c r="B195" s="2" t="s">
        <v>223</v>
      </c>
      <c r="C195" s="36"/>
    </row>
    <row r="196" spans="1:3" x14ac:dyDescent="0.3">
      <c r="A196" s="40">
        <v>60106001</v>
      </c>
      <c r="B196" s="36" t="s">
        <v>224</v>
      </c>
      <c r="C196" s="36"/>
    </row>
    <row r="197" spans="1:3" x14ac:dyDescent="0.3">
      <c r="A197" s="40">
        <v>60106002</v>
      </c>
      <c r="B197" s="36" t="s">
        <v>225</v>
      </c>
      <c r="C197" s="36"/>
    </row>
    <row r="198" spans="1:3" x14ac:dyDescent="0.3">
      <c r="A198" s="37">
        <v>60106003</v>
      </c>
      <c r="B198" t="s">
        <v>226</v>
      </c>
      <c r="C198" s="36"/>
    </row>
    <row r="199" spans="1:3" x14ac:dyDescent="0.3">
      <c r="A199" s="32">
        <v>60107</v>
      </c>
      <c r="B199" s="2" t="s">
        <v>227</v>
      </c>
      <c r="C199" s="36"/>
    </row>
    <row r="200" spans="1:3" x14ac:dyDescent="0.3">
      <c r="A200" s="40">
        <v>60107001</v>
      </c>
      <c r="B200" s="36" t="s">
        <v>228</v>
      </c>
      <c r="C200" s="36"/>
    </row>
    <row r="201" spans="1:3" x14ac:dyDescent="0.3">
      <c r="A201" s="37">
        <v>60107002</v>
      </c>
      <c r="B201" t="s">
        <v>229</v>
      </c>
      <c r="C201" s="36"/>
    </row>
    <row r="202" spans="1:3" x14ac:dyDescent="0.3">
      <c r="A202" s="37">
        <v>60107003</v>
      </c>
      <c r="B202" t="s">
        <v>230</v>
      </c>
      <c r="C202" s="36"/>
    </row>
    <row r="203" spans="1:3" x14ac:dyDescent="0.3">
      <c r="A203" s="37">
        <v>60107004</v>
      </c>
      <c r="B203" t="s">
        <v>231</v>
      </c>
      <c r="C203" s="36"/>
    </row>
    <row r="204" spans="1:3" x14ac:dyDescent="0.3">
      <c r="A204" s="37">
        <v>60107005</v>
      </c>
      <c r="B204" t="s">
        <v>232</v>
      </c>
      <c r="C204" s="36"/>
    </row>
    <row r="205" spans="1:3" x14ac:dyDescent="0.3">
      <c r="A205" s="37">
        <v>60107006</v>
      </c>
      <c r="B205" t="s">
        <v>233</v>
      </c>
      <c r="C205" s="36"/>
    </row>
    <row r="206" spans="1:3" x14ac:dyDescent="0.3">
      <c r="A206" s="37">
        <v>60107007</v>
      </c>
      <c r="B206" t="s">
        <v>234</v>
      </c>
      <c r="C206" s="36"/>
    </row>
    <row r="207" spans="1:3" x14ac:dyDescent="0.3">
      <c r="A207" s="37">
        <v>60107008</v>
      </c>
      <c r="B207" t="s">
        <v>235</v>
      </c>
      <c r="C207" s="36"/>
    </row>
    <row r="208" spans="1:3" x14ac:dyDescent="0.3">
      <c r="A208" s="37">
        <v>60107009</v>
      </c>
      <c r="B208" t="s">
        <v>236</v>
      </c>
      <c r="C208" s="36"/>
    </row>
    <row r="209" spans="1:3" x14ac:dyDescent="0.3">
      <c r="A209" s="32">
        <v>60108</v>
      </c>
      <c r="B209" s="2" t="s">
        <v>237</v>
      </c>
      <c r="C209" s="36"/>
    </row>
    <row r="210" spans="1:3" x14ac:dyDescent="0.3">
      <c r="A210" s="37">
        <v>60108001</v>
      </c>
      <c r="B210" t="s">
        <v>238</v>
      </c>
      <c r="C210" s="36"/>
    </row>
    <row r="211" spans="1:3" x14ac:dyDescent="0.3">
      <c r="A211" s="37">
        <v>60108002</v>
      </c>
      <c r="B211" t="s">
        <v>239</v>
      </c>
      <c r="C211" s="36"/>
    </row>
    <row r="212" spans="1:3" x14ac:dyDescent="0.3">
      <c r="A212" s="37">
        <v>60108003</v>
      </c>
      <c r="B212" t="s">
        <v>240</v>
      </c>
      <c r="C212" s="36"/>
    </row>
    <row r="213" spans="1:3" x14ac:dyDescent="0.3">
      <c r="A213" s="37">
        <v>60108004</v>
      </c>
      <c r="B213" t="s">
        <v>241</v>
      </c>
      <c r="C213" s="36"/>
    </row>
    <row r="214" spans="1:3" x14ac:dyDescent="0.3">
      <c r="A214" s="37">
        <v>60108005</v>
      </c>
      <c r="B214" t="s">
        <v>242</v>
      </c>
      <c r="C214" s="36"/>
    </row>
    <row r="215" spans="1:3" x14ac:dyDescent="0.3">
      <c r="A215" s="37">
        <v>60108006</v>
      </c>
      <c r="B215" t="s">
        <v>243</v>
      </c>
      <c r="C215" s="36"/>
    </row>
    <row r="216" spans="1:3" x14ac:dyDescent="0.3">
      <c r="A216" s="32">
        <v>60109</v>
      </c>
      <c r="B216" s="2" t="s">
        <v>244</v>
      </c>
      <c r="C216" s="36"/>
    </row>
    <row r="217" spans="1:3" x14ac:dyDescent="0.3">
      <c r="A217" s="37">
        <v>60109001</v>
      </c>
      <c r="B217" t="s">
        <v>245</v>
      </c>
      <c r="C217" s="36"/>
    </row>
    <row r="218" spans="1:3" x14ac:dyDescent="0.3">
      <c r="A218" s="40">
        <v>60109002</v>
      </c>
      <c r="B218" s="36" t="s">
        <v>246</v>
      </c>
      <c r="C218" s="36"/>
    </row>
    <row r="219" spans="1:3" x14ac:dyDescent="0.3">
      <c r="A219" s="37">
        <v>60109003</v>
      </c>
      <c r="B219" t="s">
        <v>247</v>
      </c>
      <c r="C219" s="36"/>
    </row>
    <row r="220" spans="1:3" x14ac:dyDescent="0.3">
      <c r="A220" s="37">
        <v>60109004</v>
      </c>
      <c r="B220" t="s">
        <v>248</v>
      </c>
      <c r="C220" s="36"/>
    </row>
    <row r="221" spans="1:3" x14ac:dyDescent="0.3">
      <c r="A221" s="37">
        <v>60109005</v>
      </c>
      <c r="B221" t="s">
        <v>249</v>
      </c>
      <c r="C221" s="36"/>
    </row>
    <row r="222" spans="1:3" x14ac:dyDescent="0.3">
      <c r="A222" s="37">
        <v>60109006</v>
      </c>
      <c r="B222" t="s">
        <v>250</v>
      </c>
      <c r="C222" s="36"/>
    </row>
    <row r="223" spans="1:3" x14ac:dyDescent="0.3">
      <c r="A223" s="37">
        <v>60109007</v>
      </c>
      <c r="B223" t="s">
        <v>251</v>
      </c>
      <c r="C223" s="36"/>
    </row>
    <row r="224" spans="1:3" x14ac:dyDescent="0.3">
      <c r="A224" s="37">
        <v>60109008</v>
      </c>
      <c r="B224" t="s">
        <v>252</v>
      </c>
      <c r="C224" s="36"/>
    </row>
    <row r="225" spans="1:3" x14ac:dyDescent="0.3">
      <c r="A225" s="32">
        <v>60110</v>
      </c>
      <c r="B225" s="2" t="s">
        <v>253</v>
      </c>
      <c r="C225" s="36"/>
    </row>
    <row r="226" spans="1:3" x14ac:dyDescent="0.3">
      <c r="A226" s="37">
        <v>60110001</v>
      </c>
      <c r="B226" t="s">
        <v>254</v>
      </c>
      <c r="C226" s="36"/>
    </row>
    <row r="227" spans="1:3" x14ac:dyDescent="0.3">
      <c r="A227" s="37">
        <v>60110002</v>
      </c>
      <c r="B227" t="s">
        <v>255</v>
      </c>
      <c r="C227" s="36"/>
    </row>
    <row r="228" spans="1:3" x14ac:dyDescent="0.3">
      <c r="A228" s="37">
        <v>60110003</v>
      </c>
      <c r="B228" t="s">
        <v>256</v>
      </c>
      <c r="C228" s="36"/>
    </row>
    <row r="229" spans="1:3" x14ac:dyDescent="0.3">
      <c r="A229" s="37">
        <v>60110004</v>
      </c>
      <c r="B229" t="s">
        <v>257</v>
      </c>
      <c r="C229" s="36"/>
    </row>
    <row r="230" spans="1:3" x14ac:dyDescent="0.3">
      <c r="A230" s="37">
        <v>60110005</v>
      </c>
      <c r="B230" t="s">
        <v>258</v>
      </c>
      <c r="C230" s="36"/>
    </row>
    <row r="231" spans="1:3" x14ac:dyDescent="0.3">
      <c r="A231" s="37">
        <v>60110006</v>
      </c>
      <c r="B231" t="s">
        <v>259</v>
      </c>
      <c r="C231" s="36"/>
    </row>
    <row r="232" spans="1:3" x14ac:dyDescent="0.3">
      <c r="A232" s="37">
        <v>60110007</v>
      </c>
      <c r="B232" t="s">
        <v>260</v>
      </c>
      <c r="C232" s="36"/>
    </row>
    <row r="233" spans="1:3" x14ac:dyDescent="0.3">
      <c r="A233" s="32">
        <v>60111</v>
      </c>
      <c r="B233" s="2" t="s">
        <v>261</v>
      </c>
      <c r="C233" s="36"/>
    </row>
    <row r="234" spans="1:3" x14ac:dyDescent="0.3">
      <c r="A234" s="37">
        <v>60111001</v>
      </c>
      <c r="B234" t="s">
        <v>262</v>
      </c>
      <c r="C234" s="36"/>
    </row>
    <row r="235" spans="1:3" x14ac:dyDescent="0.3">
      <c r="A235" s="37">
        <v>60111002</v>
      </c>
      <c r="B235" t="s">
        <v>263</v>
      </c>
      <c r="C235" s="36"/>
    </row>
    <row r="236" spans="1:3" x14ac:dyDescent="0.3">
      <c r="A236" s="37">
        <v>60111003</v>
      </c>
      <c r="B236" t="s">
        <v>264</v>
      </c>
      <c r="C236" s="36"/>
    </row>
    <row r="237" spans="1:3" x14ac:dyDescent="0.3">
      <c r="A237" s="37">
        <v>60111004</v>
      </c>
      <c r="B237" t="s">
        <v>265</v>
      </c>
      <c r="C237" s="36"/>
    </row>
    <row r="238" spans="1:3" x14ac:dyDescent="0.3">
      <c r="A238" s="37">
        <v>60111005</v>
      </c>
      <c r="B238" t="s">
        <v>266</v>
      </c>
      <c r="C238" s="36"/>
    </row>
    <row r="239" spans="1:3" x14ac:dyDescent="0.3">
      <c r="A239" s="32">
        <v>60112</v>
      </c>
      <c r="B239" s="2" t="s">
        <v>267</v>
      </c>
      <c r="C239" s="36"/>
    </row>
    <row r="240" spans="1:3" x14ac:dyDescent="0.3">
      <c r="A240" s="37">
        <v>60112001</v>
      </c>
      <c r="B240" t="s">
        <v>268</v>
      </c>
      <c r="C240" s="36"/>
    </row>
    <row r="241" spans="1:3" x14ac:dyDescent="0.3">
      <c r="A241" s="37">
        <v>60112002</v>
      </c>
      <c r="B241" t="s">
        <v>269</v>
      </c>
      <c r="C241" s="36"/>
    </row>
    <row r="242" spans="1:3" x14ac:dyDescent="0.3">
      <c r="A242" s="37">
        <v>60112003</v>
      </c>
      <c r="B242" t="s">
        <v>270</v>
      </c>
      <c r="C242" s="36"/>
    </row>
    <row r="243" spans="1:3" x14ac:dyDescent="0.3">
      <c r="A243" s="37">
        <v>60112004</v>
      </c>
      <c r="B243" t="s">
        <v>271</v>
      </c>
      <c r="C243" s="36"/>
    </row>
    <row r="244" spans="1:3" x14ac:dyDescent="0.3">
      <c r="A244" s="37">
        <v>60112005</v>
      </c>
      <c r="B244" t="s">
        <v>272</v>
      </c>
      <c r="C244" s="36"/>
    </row>
    <row r="245" spans="1:3" x14ac:dyDescent="0.3">
      <c r="A245" s="37">
        <v>60112006</v>
      </c>
      <c r="B245" t="s">
        <v>273</v>
      </c>
      <c r="C245" s="36"/>
    </row>
    <row r="246" spans="1:3" x14ac:dyDescent="0.3">
      <c r="A246" s="37">
        <v>60112007</v>
      </c>
      <c r="B246" t="s">
        <v>274</v>
      </c>
      <c r="C246" s="36"/>
    </row>
    <row r="247" spans="1:3" x14ac:dyDescent="0.3">
      <c r="A247" s="37">
        <v>60112008</v>
      </c>
      <c r="B247" t="s">
        <v>275</v>
      </c>
      <c r="C247" s="36"/>
    </row>
    <row r="248" spans="1:3" x14ac:dyDescent="0.3">
      <c r="A248" s="37">
        <v>60112009</v>
      </c>
      <c r="B248" t="s">
        <v>276</v>
      </c>
      <c r="C248" s="36"/>
    </row>
    <row r="249" spans="1:3" x14ac:dyDescent="0.3">
      <c r="A249" s="37">
        <v>60112010</v>
      </c>
      <c r="B249" t="s">
        <v>277</v>
      </c>
      <c r="C249" s="36"/>
    </row>
    <row r="250" spans="1:3" x14ac:dyDescent="0.3">
      <c r="A250" s="37">
        <v>60112011</v>
      </c>
      <c r="B250" t="s">
        <v>278</v>
      </c>
      <c r="C250" s="36"/>
    </row>
    <row r="251" spans="1:3" x14ac:dyDescent="0.3">
      <c r="A251" s="37">
        <v>60112012</v>
      </c>
      <c r="B251" t="s">
        <v>279</v>
      </c>
      <c r="C251" s="36"/>
    </row>
    <row r="252" spans="1:3" x14ac:dyDescent="0.3">
      <c r="A252" s="32">
        <v>60113</v>
      </c>
      <c r="B252" s="2" t="s">
        <v>280</v>
      </c>
      <c r="C252" s="36"/>
    </row>
    <row r="253" spans="1:3" x14ac:dyDescent="0.3">
      <c r="A253" s="37">
        <v>60113001</v>
      </c>
      <c r="B253" t="s">
        <v>281</v>
      </c>
      <c r="C253" s="36"/>
    </row>
    <row r="254" spans="1:3" x14ac:dyDescent="0.3">
      <c r="A254" s="37">
        <v>60113002</v>
      </c>
      <c r="B254" t="s">
        <v>282</v>
      </c>
      <c r="C254" s="36"/>
    </row>
    <row r="255" spans="1:3" x14ac:dyDescent="0.3">
      <c r="A255" s="37">
        <v>60113003</v>
      </c>
      <c r="B255" t="s">
        <v>283</v>
      </c>
      <c r="C255" s="36"/>
    </row>
    <row r="256" spans="1:3" x14ac:dyDescent="0.3">
      <c r="A256" s="37">
        <v>60113004</v>
      </c>
      <c r="B256" t="s">
        <v>284</v>
      </c>
      <c r="C256" s="36"/>
    </row>
    <row r="257" spans="1:3" x14ac:dyDescent="0.3">
      <c r="A257" s="37">
        <v>60113005</v>
      </c>
      <c r="B257" t="s">
        <v>285</v>
      </c>
      <c r="C257" s="36"/>
    </row>
    <row r="258" spans="1:3" x14ac:dyDescent="0.3">
      <c r="A258" s="37">
        <v>60113006</v>
      </c>
      <c r="B258" t="s">
        <v>286</v>
      </c>
      <c r="C258" s="36"/>
    </row>
    <row r="259" spans="1:3" x14ac:dyDescent="0.3">
      <c r="A259" s="37">
        <v>60113007</v>
      </c>
      <c r="B259" t="s">
        <v>287</v>
      </c>
      <c r="C259" s="36"/>
    </row>
    <row r="260" spans="1:3" x14ac:dyDescent="0.3">
      <c r="A260" s="37">
        <v>60113008</v>
      </c>
      <c r="B260" t="s">
        <v>288</v>
      </c>
      <c r="C260" s="36"/>
    </row>
    <row r="261" spans="1:3" x14ac:dyDescent="0.3">
      <c r="A261" s="32">
        <v>60202</v>
      </c>
      <c r="B261" s="2" t="s">
        <v>289</v>
      </c>
      <c r="C261" s="36"/>
    </row>
    <row r="262" spans="1:3" x14ac:dyDescent="0.3">
      <c r="A262" s="37">
        <v>60202001</v>
      </c>
      <c r="B262" t="s">
        <v>290</v>
      </c>
      <c r="C262" s="36"/>
    </row>
    <row r="263" spans="1:3" x14ac:dyDescent="0.3">
      <c r="A263" s="37">
        <v>60202002</v>
      </c>
      <c r="B263" t="s">
        <v>291</v>
      </c>
      <c r="C263" s="36"/>
    </row>
    <row r="264" spans="1:3" x14ac:dyDescent="0.3">
      <c r="A264" s="32">
        <v>60203</v>
      </c>
      <c r="B264" s="2" t="s">
        <v>182</v>
      </c>
      <c r="C264" s="36"/>
    </row>
    <row r="265" spans="1:3" x14ac:dyDescent="0.3">
      <c r="A265" s="37">
        <v>60203001</v>
      </c>
      <c r="B265" t="s">
        <v>183</v>
      </c>
      <c r="C265" s="36"/>
    </row>
    <row r="266" spans="1:3" x14ac:dyDescent="0.3">
      <c r="A266" s="37">
        <v>60203003</v>
      </c>
      <c r="B266" t="s">
        <v>292</v>
      </c>
      <c r="C266" s="36"/>
    </row>
    <row r="267" spans="1:3" x14ac:dyDescent="0.3">
      <c r="A267" s="37">
        <v>60203004</v>
      </c>
      <c r="B267" t="s">
        <v>293</v>
      </c>
      <c r="C267" s="36"/>
    </row>
    <row r="268" spans="1:3" x14ac:dyDescent="0.3">
      <c r="A268" s="37">
        <v>60203005</v>
      </c>
      <c r="B268" t="s">
        <v>294</v>
      </c>
      <c r="C268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E8" sqref="E8"/>
    </sheetView>
  </sheetViews>
  <sheetFormatPr baseColWidth="10" defaultColWidth="10.77734375" defaultRowHeight="14.4" x14ac:dyDescent="0.3"/>
  <cols>
    <col min="3" max="3" width="24" customWidth="1"/>
    <col min="4" max="6" width="12.5546875" bestFit="1" customWidth="1"/>
  </cols>
  <sheetData>
    <row r="1" spans="1:6" x14ac:dyDescent="0.3">
      <c r="B1" s="2" t="s">
        <v>331</v>
      </c>
    </row>
    <row r="3" spans="1:6" ht="18" x14ac:dyDescent="0.35">
      <c r="B3" s="64" t="s">
        <v>296</v>
      </c>
      <c r="C3" s="64"/>
      <c r="D3" s="64"/>
      <c r="E3" s="64"/>
      <c r="F3" s="64"/>
    </row>
    <row r="4" spans="1:6" ht="18" x14ac:dyDescent="0.35">
      <c r="B4" s="64" t="s">
        <v>332</v>
      </c>
      <c r="C4" s="64"/>
      <c r="D4" s="64"/>
      <c r="E4" s="64"/>
      <c r="F4" s="64"/>
    </row>
    <row r="5" spans="1:6" ht="12.6" customHeight="1" x14ac:dyDescent="0.35">
      <c r="B5" s="64" t="s">
        <v>297</v>
      </c>
      <c r="C5" s="64"/>
      <c r="D5" s="64"/>
      <c r="E5" s="64"/>
      <c r="F5" s="64"/>
    </row>
    <row r="7" spans="1:6" x14ac:dyDescent="0.3">
      <c r="B7" s="47" t="s">
        <v>0</v>
      </c>
    </row>
    <row r="8" spans="1:6" x14ac:dyDescent="0.3">
      <c r="B8" s="47" t="s">
        <v>298</v>
      </c>
      <c r="F8" s="48"/>
    </row>
    <row r="9" spans="1:6" x14ac:dyDescent="0.3">
      <c r="B9" s="47" t="s">
        <v>68</v>
      </c>
      <c r="D9" s="49"/>
      <c r="E9" s="49" t="s">
        <v>34</v>
      </c>
    </row>
    <row r="10" spans="1:6" ht="16.2" customHeight="1" x14ac:dyDescent="0.3">
      <c r="B10" t="s">
        <v>307</v>
      </c>
      <c r="D10" s="49">
        <v>26000</v>
      </c>
      <c r="E10" s="49" t="s">
        <v>34</v>
      </c>
    </row>
    <row r="11" spans="1:6" x14ac:dyDescent="0.3">
      <c r="B11" s="50" t="s">
        <v>295</v>
      </c>
      <c r="D11" s="49">
        <v>8000</v>
      </c>
      <c r="E11" s="49"/>
    </row>
    <row r="12" spans="1:6" x14ac:dyDescent="0.3">
      <c r="A12" t="s">
        <v>34</v>
      </c>
      <c r="B12" s="50" t="s">
        <v>308</v>
      </c>
      <c r="D12" s="49">
        <v>6000</v>
      </c>
      <c r="E12" s="49"/>
    </row>
    <row r="13" spans="1:6" x14ac:dyDescent="0.3">
      <c r="B13" s="50"/>
      <c r="D13" s="49" t="s">
        <v>34</v>
      </c>
      <c r="E13" s="49"/>
    </row>
    <row r="14" spans="1:6" x14ac:dyDescent="0.3">
      <c r="B14" s="51" t="s">
        <v>299</v>
      </c>
      <c r="C14" s="47"/>
      <c r="D14" s="52"/>
      <c r="E14" s="49"/>
      <c r="F14" s="53">
        <f>SUM(D10:D12)</f>
        <v>40000</v>
      </c>
    </row>
    <row r="15" spans="1:6" x14ac:dyDescent="0.3">
      <c r="B15" s="51"/>
      <c r="C15" s="47"/>
      <c r="D15" s="52"/>
      <c r="E15" s="49"/>
      <c r="F15" s="53"/>
    </row>
    <row r="16" spans="1:6" x14ac:dyDescent="0.3">
      <c r="B16" s="51"/>
      <c r="C16" s="47"/>
      <c r="D16" s="52"/>
      <c r="E16" s="49"/>
      <c r="F16" s="53"/>
    </row>
    <row r="17" spans="2:9" ht="6.75" customHeight="1" x14ac:dyDescent="0.3">
      <c r="B17" s="51" t="s">
        <v>300</v>
      </c>
      <c r="C17" s="47"/>
      <c r="D17" s="52"/>
      <c r="E17" s="49"/>
      <c r="F17" s="53"/>
    </row>
    <row r="18" spans="2:9" x14ac:dyDescent="0.3">
      <c r="B18" s="51"/>
      <c r="C18" s="47"/>
      <c r="D18" s="52"/>
      <c r="E18" s="49"/>
      <c r="F18" s="53"/>
    </row>
    <row r="19" spans="2:9" x14ac:dyDescent="0.3">
      <c r="B19" s="50"/>
      <c r="C19" s="47"/>
      <c r="D19" s="49">
        <v>0</v>
      </c>
      <c r="E19" s="49"/>
      <c r="F19" s="53"/>
    </row>
    <row r="20" spans="2:9" x14ac:dyDescent="0.3">
      <c r="B20" s="51" t="s">
        <v>301</v>
      </c>
      <c r="C20" s="47"/>
      <c r="D20" s="52"/>
      <c r="E20" s="49"/>
      <c r="F20" s="53">
        <f>D19</f>
        <v>0</v>
      </c>
    </row>
    <row r="22" spans="2:9" ht="15" thickBot="1" x14ac:dyDescent="0.35">
      <c r="B22" s="61" t="s">
        <v>302</v>
      </c>
      <c r="C22" s="61"/>
      <c r="D22" s="61"/>
      <c r="E22" s="61"/>
      <c r="F22" s="54">
        <f>F14+F20</f>
        <v>40000</v>
      </c>
    </row>
    <row r="23" spans="2:9" ht="15" thickTop="1" x14ac:dyDescent="0.3"/>
    <row r="24" spans="2:9" x14ac:dyDescent="0.3">
      <c r="B24" s="47" t="s">
        <v>1</v>
      </c>
      <c r="D24" s="49"/>
      <c r="E24" s="49"/>
      <c r="F24" s="49"/>
    </row>
    <row r="25" spans="2:9" x14ac:dyDescent="0.3">
      <c r="B25" s="47" t="s">
        <v>128</v>
      </c>
      <c r="C25" s="55"/>
      <c r="D25" s="49"/>
      <c r="E25" s="49"/>
      <c r="F25" s="49"/>
    </row>
    <row r="26" spans="2:9" x14ac:dyDescent="0.3">
      <c r="B26" s="47" t="s">
        <v>34</v>
      </c>
      <c r="C26" s="55"/>
      <c r="D26" s="49"/>
      <c r="E26" s="49">
        <f>D27</f>
        <v>0</v>
      </c>
      <c r="F26" s="49"/>
    </row>
    <row r="27" spans="2:9" x14ac:dyDescent="0.3">
      <c r="B27" t="s">
        <v>34</v>
      </c>
      <c r="D27" s="49">
        <v>0</v>
      </c>
      <c r="E27" s="49"/>
      <c r="F27" s="49"/>
    </row>
    <row r="28" spans="2:9" x14ac:dyDescent="0.3">
      <c r="B28" s="47" t="s">
        <v>156</v>
      </c>
      <c r="D28" s="49"/>
      <c r="E28" s="49"/>
      <c r="F28" s="49"/>
    </row>
    <row r="29" spans="2:9" x14ac:dyDescent="0.3">
      <c r="B29" s="47" t="s">
        <v>303</v>
      </c>
      <c r="D29" s="49"/>
      <c r="E29" s="49"/>
      <c r="F29" s="53">
        <f>E26</f>
        <v>0</v>
      </c>
    </row>
    <row r="30" spans="2:9" x14ac:dyDescent="0.3">
      <c r="B30" s="47"/>
      <c r="D30" s="49"/>
      <c r="E30" s="49"/>
      <c r="F30" s="53"/>
    </row>
    <row r="31" spans="2:9" x14ac:dyDescent="0.3">
      <c r="B31" s="2" t="s">
        <v>2</v>
      </c>
      <c r="F31" s="56">
        <f>E32</f>
        <v>40000</v>
      </c>
      <c r="I31" t="s">
        <v>34</v>
      </c>
    </row>
    <row r="32" spans="2:9" x14ac:dyDescent="0.3">
      <c r="B32" t="s">
        <v>304</v>
      </c>
      <c r="D32" s="48"/>
      <c r="E32" s="49">
        <f>F22-F29</f>
        <v>40000</v>
      </c>
    </row>
    <row r="34" spans="2:6" ht="15" thickBot="1" x14ac:dyDescent="0.35">
      <c r="B34" s="62" t="s">
        <v>3</v>
      </c>
      <c r="C34" s="62"/>
      <c r="D34" s="62"/>
      <c r="E34" s="62"/>
      <c r="F34" s="54">
        <f>F31+F29</f>
        <v>40000</v>
      </c>
    </row>
    <row r="35" spans="2:6" ht="15" thickTop="1" x14ac:dyDescent="0.3">
      <c r="B35" s="28"/>
      <c r="C35" s="28"/>
      <c r="D35" s="28"/>
      <c r="E35" s="28"/>
      <c r="F35" s="56"/>
    </row>
    <row r="37" spans="2:6" x14ac:dyDescent="0.3">
      <c r="B37" s="63" t="s">
        <v>305</v>
      </c>
      <c r="C37" s="63"/>
      <c r="D37" s="62" t="s">
        <v>306</v>
      </c>
      <c r="E37" s="62"/>
      <c r="F37" s="62"/>
    </row>
  </sheetData>
  <mergeCells count="7">
    <mergeCell ref="B22:E22"/>
    <mergeCell ref="B34:E34"/>
    <mergeCell ref="B37:C37"/>
    <mergeCell ref="D37:F37"/>
    <mergeCell ref="B3:F3"/>
    <mergeCell ref="B4:F4"/>
    <mergeCell ref="B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16E5-D47C-4661-9061-D4994B6FE8DF}">
  <dimension ref="A1:E105"/>
  <sheetViews>
    <sheetView workbookViewId="0">
      <selection sqref="A1:D1"/>
    </sheetView>
  </sheetViews>
  <sheetFormatPr baseColWidth="10" defaultRowHeight="14.4" x14ac:dyDescent="0.3"/>
  <cols>
    <col min="1" max="1" width="12.5546875" customWidth="1"/>
    <col min="2" max="2" width="52.33203125" customWidth="1"/>
    <col min="3" max="4" width="11.5546875" style="1"/>
  </cols>
  <sheetData>
    <row r="1" spans="1:4" x14ac:dyDescent="0.3">
      <c r="A1" s="62" t="s">
        <v>4</v>
      </c>
      <c r="B1" s="62"/>
      <c r="C1" s="62"/>
      <c r="D1" s="62"/>
    </row>
    <row r="2" spans="1:4" ht="7.5" customHeight="1" x14ac:dyDescent="0.3"/>
    <row r="3" spans="1:4" ht="21.75" customHeight="1" x14ac:dyDescent="0.3">
      <c r="A3" s="5" t="s">
        <v>5</v>
      </c>
      <c r="B3" s="5" t="s">
        <v>6</v>
      </c>
      <c r="C3" s="6" t="s">
        <v>7</v>
      </c>
      <c r="D3" s="6" t="s">
        <v>8</v>
      </c>
    </row>
    <row r="4" spans="1:4" x14ac:dyDescent="0.3">
      <c r="A4" s="7">
        <v>45017</v>
      </c>
      <c r="B4" s="8" t="s">
        <v>9</v>
      </c>
      <c r="C4" s="9"/>
      <c r="D4" s="9"/>
    </row>
    <row r="5" spans="1:4" x14ac:dyDescent="0.3">
      <c r="A5" s="8"/>
      <c r="B5" s="38" t="s">
        <v>81</v>
      </c>
      <c r="C5" s="9">
        <f>+'BALANCE APERTURA'!D10</f>
        <v>26000</v>
      </c>
      <c r="D5" s="9"/>
    </row>
    <row r="6" spans="1:4" x14ac:dyDescent="0.3">
      <c r="A6" s="8"/>
      <c r="B6" s="8" t="s">
        <v>295</v>
      </c>
      <c r="C6" s="9">
        <f>+'BALANCE APERTURA'!D11</f>
        <v>8000</v>
      </c>
      <c r="D6" s="9"/>
    </row>
    <row r="7" spans="1:4" x14ac:dyDescent="0.3">
      <c r="A7" s="8"/>
      <c r="B7" s="8" t="s">
        <v>11</v>
      </c>
      <c r="C7" s="9">
        <f>+'BALANCE APERTURA'!D12</f>
        <v>6000</v>
      </c>
      <c r="D7" s="9"/>
    </row>
    <row r="8" spans="1:4" x14ac:dyDescent="0.3">
      <c r="A8" s="8"/>
      <c r="B8" s="58" t="s">
        <v>48</v>
      </c>
      <c r="C8" s="57"/>
      <c r="D8" s="9">
        <f>SUM(C5:C7)</f>
        <v>40000</v>
      </c>
    </row>
    <row r="9" spans="1:4" x14ac:dyDescent="0.3">
      <c r="A9" s="7"/>
      <c r="B9" s="8" t="s">
        <v>309</v>
      </c>
      <c r="C9" s="9"/>
      <c r="D9" s="9"/>
    </row>
    <row r="10" spans="1:4" x14ac:dyDescent="0.3">
      <c r="A10" s="7">
        <v>45018</v>
      </c>
      <c r="B10" s="8" t="s">
        <v>18</v>
      </c>
      <c r="C10" s="9"/>
      <c r="D10" s="9"/>
    </row>
    <row r="11" spans="1:4" x14ac:dyDescent="0.3">
      <c r="A11" s="8"/>
      <c r="B11" s="38" t="s">
        <v>81</v>
      </c>
      <c r="C11" s="9">
        <v>7000</v>
      </c>
      <c r="D11" s="9"/>
    </row>
    <row r="12" spans="1:4" x14ac:dyDescent="0.3">
      <c r="A12" s="8"/>
      <c r="B12" s="59" t="s">
        <v>310</v>
      </c>
      <c r="C12" s="9">
        <f>C11*3/100</f>
        <v>210</v>
      </c>
      <c r="D12" s="9"/>
    </row>
    <row r="13" spans="1:4" x14ac:dyDescent="0.3">
      <c r="A13" s="8"/>
      <c r="B13" s="60" t="s">
        <v>49</v>
      </c>
      <c r="C13" s="9"/>
      <c r="D13" s="9">
        <f>C11*87/100</f>
        <v>6090</v>
      </c>
    </row>
    <row r="14" spans="1:4" x14ac:dyDescent="0.3">
      <c r="A14" s="8"/>
      <c r="B14" s="58" t="s">
        <v>33</v>
      </c>
      <c r="C14" s="9"/>
      <c r="D14" s="9">
        <f>C11*13/100</f>
        <v>910</v>
      </c>
    </row>
    <row r="15" spans="1:4" x14ac:dyDescent="0.3">
      <c r="A15" s="8"/>
      <c r="B15" s="58" t="s">
        <v>311</v>
      </c>
      <c r="C15" s="9"/>
      <c r="D15" s="9">
        <f>+C12</f>
        <v>210</v>
      </c>
    </row>
    <row r="16" spans="1:4" x14ac:dyDescent="0.3">
      <c r="A16" s="7"/>
      <c r="B16" s="8" t="s">
        <v>312</v>
      </c>
      <c r="C16" s="9"/>
      <c r="D16" s="9"/>
    </row>
    <row r="17" spans="1:4" x14ac:dyDescent="0.3">
      <c r="A17" s="7">
        <v>45022</v>
      </c>
      <c r="B17" s="8" t="s">
        <v>13</v>
      </c>
      <c r="C17" s="9"/>
      <c r="D17" s="9"/>
    </row>
    <row r="18" spans="1:4" x14ac:dyDescent="0.3">
      <c r="A18" s="8"/>
      <c r="B18" s="10" t="s">
        <v>313</v>
      </c>
      <c r="C18" s="9">
        <f>D20*87/100</f>
        <v>7830</v>
      </c>
      <c r="D18" s="9"/>
    </row>
    <row r="19" spans="1:4" x14ac:dyDescent="0.3">
      <c r="A19" s="8"/>
      <c r="B19" s="8" t="s">
        <v>14</v>
      </c>
      <c r="C19" s="9">
        <f>D20*13/100</f>
        <v>1170</v>
      </c>
      <c r="D19" s="9"/>
    </row>
    <row r="20" spans="1:4" x14ac:dyDescent="0.3">
      <c r="A20" s="7"/>
      <c r="B20" s="58" t="s">
        <v>23</v>
      </c>
      <c r="C20" s="9"/>
      <c r="D20" s="9">
        <v>9000</v>
      </c>
    </row>
    <row r="21" spans="1:4" x14ac:dyDescent="0.3">
      <c r="A21" s="8"/>
      <c r="B21" s="8" t="s">
        <v>314</v>
      </c>
      <c r="C21" s="9"/>
      <c r="D21" s="9"/>
    </row>
    <row r="22" spans="1:4" x14ac:dyDescent="0.3">
      <c r="A22" s="7">
        <v>45026</v>
      </c>
      <c r="B22" s="8" t="s">
        <v>315</v>
      </c>
      <c r="C22" s="9"/>
      <c r="D22" s="9"/>
    </row>
    <row r="23" spans="1:4" x14ac:dyDescent="0.3">
      <c r="A23" s="7"/>
      <c r="B23" s="38" t="s">
        <v>81</v>
      </c>
      <c r="C23" s="9">
        <v>8000</v>
      </c>
      <c r="D23" s="9"/>
    </row>
    <row r="24" spans="1:4" x14ac:dyDescent="0.3">
      <c r="A24" s="7"/>
      <c r="B24" s="8" t="s">
        <v>85</v>
      </c>
      <c r="C24" s="9">
        <v>2000</v>
      </c>
      <c r="D24" s="9"/>
    </row>
    <row r="25" spans="1:4" x14ac:dyDescent="0.3">
      <c r="A25" s="7"/>
      <c r="B25" s="8" t="s">
        <v>310</v>
      </c>
      <c r="C25" s="9">
        <f>C23*3/100</f>
        <v>240</v>
      </c>
      <c r="D25" s="9" t="s">
        <v>34</v>
      </c>
    </row>
    <row r="26" spans="1:4" x14ac:dyDescent="0.3">
      <c r="A26" s="7"/>
      <c r="B26" s="58" t="s">
        <v>49</v>
      </c>
      <c r="C26" s="9"/>
      <c r="D26" s="9">
        <v>8700</v>
      </c>
    </row>
    <row r="27" spans="1:4" x14ac:dyDescent="0.3">
      <c r="A27" s="8"/>
      <c r="B27" s="58" t="s">
        <v>33</v>
      </c>
      <c r="C27" s="9"/>
      <c r="D27" s="9">
        <v>1300</v>
      </c>
    </row>
    <row r="28" spans="1:4" x14ac:dyDescent="0.3">
      <c r="A28" s="7"/>
      <c r="B28" s="58" t="s">
        <v>311</v>
      </c>
      <c r="C28" s="9"/>
      <c r="D28" s="9">
        <f>C25</f>
        <v>240</v>
      </c>
    </row>
    <row r="29" spans="1:4" x14ac:dyDescent="0.3">
      <c r="A29" s="8"/>
      <c r="B29" s="8"/>
      <c r="C29" s="9"/>
      <c r="D29" s="9"/>
    </row>
    <row r="30" spans="1:4" x14ac:dyDescent="0.3">
      <c r="A30" s="8"/>
      <c r="B30" s="8" t="s">
        <v>17</v>
      </c>
      <c r="C30" s="9"/>
      <c r="D30" s="9"/>
    </row>
    <row r="31" spans="1:4" x14ac:dyDescent="0.3">
      <c r="A31" s="7">
        <v>45031</v>
      </c>
      <c r="B31" s="8" t="s">
        <v>317</v>
      </c>
      <c r="C31" s="9"/>
      <c r="D31" s="9"/>
    </row>
    <row r="32" spans="1:4" x14ac:dyDescent="0.3">
      <c r="A32" s="8"/>
      <c r="B32" s="8" t="s">
        <v>318</v>
      </c>
      <c r="C32" s="9">
        <v>87</v>
      </c>
      <c r="D32" s="9"/>
    </row>
    <row r="33" spans="1:4" x14ac:dyDescent="0.3">
      <c r="A33" s="7"/>
      <c r="B33" s="8" t="s">
        <v>14</v>
      </c>
      <c r="C33" s="9">
        <v>13</v>
      </c>
      <c r="D33" s="9" t="s">
        <v>34</v>
      </c>
    </row>
    <row r="34" spans="1:4" x14ac:dyDescent="0.3">
      <c r="A34" s="8"/>
      <c r="B34" s="72" t="s">
        <v>319</v>
      </c>
      <c r="C34" s="9"/>
      <c r="D34" s="9">
        <v>100</v>
      </c>
    </row>
    <row r="35" spans="1:4" x14ac:dyDescent="0.3">
      <c r="A35" s="7" t="s">
        <v>34</v>
      </c>
      <c r="B35" s="73" t="s">
        <v>320</v>
      </c>
      <c r="C35" s="9"/>
      <c r="D35" s="9"/>
    </row>
    <row r="36" spans="1:4" x14ac:dyDescent="0.3">
      <c r="A36" s="8"/>
      <c r="B36" s="8"/>
      <c r="C36" s="9"/>
      <c r="D36" s="9"/>
    </row>
    <row r="37" spans="1:4" x14ac:dyDescent="0.3">
      <c r="A37" s="7">
        <v>45034</v>
      </c>
      <c r="B37" s="8" t="s">
        <v>321</v>
      </c>
      <c r="C37" s="9"/>
      <c r="D37" s="9"/>
    </row>
    <row r="38" spans="1:4" x14ac:dyDescent="0.3">
      <c r="A38" s="7" t="s">
        <v>34</v>
      </c>
      <c r="B38" s="8" t="s">
        <v>11</v>
      </c>
      <c r="C38" s="9">
        <v>1305</v>
      </c>
      <c r="D38" s="9"/>
    </row>
    <row r="39" spans="1:4" x14ac:dyDescent="0.3">
      <c r="A39" s="8"/>
      <c r="B39" s="73" t="s">
        <v>14</v>
      </c>
      <c r="C39" s="9">
        <v>195</v>
      </c>
      <c r="D39" s="9"/>
    </row>
    <row r="40" spans="1:4" x14ac:dyDescent="0.3">
      <c r="A40" s="8"/>
      <c r="B40" s="74" t="s">
        <v>319</v>
      </c>
      <c r="C40" s="9" t="s">
        <v>34</v>
      </c>
      <c r="D40" s="9">
        <v>1500</v>
      </c>
    </row>
    <row r="41" spans="1:4" x14ac:dyDescent="0.3">
      <c r="A41" s="8"/>
      <c r="B41" s="8" t="s">
        <v>322</v>
      </c>
      <c r="C41" s="9" t="s">
        <v>34</v>
      </c>
      <c r="D41" s="9" t="s">
        <v>34</v>
      </c>
    </row>
    <row r="42" spans="1:4" x14ac:dyDescent="0.3">
      <c r="A42" s="7"/>
      <c r="B42" s="8" t="s">
        <v>34</v>
      </c>
      <c r="C42" s="9"/>
      <c r="D42" s="9"/>
    </row>
    <row r="43" spans="1:4" x14ac:dyDescent="0.3">
      <c r="A43" s="7">
        <v>45037</v>
      </c>
      <c r="B43" s="8" t="s">
        <v>22</v>
      </c>
      <c r="C43" s="9"/>
      <c r="D43" s="9"/>
    </row>
    <row r="44" spans="1:4" x14ac:dyDescent="0.3">
      <c r="A44" s="8"/>
      <c r="B44" s="8" t="s">
        <v>319</v>
      </c>
      <c r="C44" s="9">
        <v>8000</v>
      </c>
      <c r="D44" s="9" t="s">
        <v>34</v>
      </c>
    </row>
    <row r="45" spans="1:4" x14ac:dyDescent="0.3">
      <c r="A45" s="8"/>
      <c r="B45" s="58" t="s">
        <v>323</v>
      </c>
      <c r="C45" s="9" t="s">
        <v>34</v>
      </c>
      <c r="D45" s="9">
        <v>8000</v>
      </c>
    </row>
    <row r="46" spans="1:4" x14ac:dyDescent="0.3">
      <c r="A46" s="8"/>
      <c r="B46" s="8" t="s">
        <v>324</v>
      </c>
      <c r="C46" s="9" t="s">
        <v>34</v>
      </c>
      <c r="D46" s="9" t="s">
        <v>34</v>
      </c>
    </row>
    <row r="47" spans="1:4" x14ac:dyDescent="0.3">
      <c r="A47" s="8"/>
      <c r="B47" s="8" t="s">
        <v>34</v>
      </c>
      <c r="C47" s="9"/>
      <c r="D47" s="9"/>
    </row>
    <row r="48" spans="1:4" x14ac:dyDescent="0.3">
      <c r="A48" s="7">
        <v>45046</v>
      </c>
      <c r="B48" s="8" t="s">
        <v>20</v>
      </c>
      <c r="C48" s="9"/>
      <c r="D48" s="9"/>
    </row>
    <row r="49" spans="1:5" x14ac:dyDescent="0.3">
      <c r="A49" s="8"/>
      <c r="B49" s="8" t="s">
        <v>325</v>
      </c>
      <c r="C49" s="9">
        <v>1044</v>
      </c>
      <c r="D49" s="9"/>
    </row>
    <row r="50" spans="1:5" x14ac:dyDescent="0.3">
      <c r="A50" s="8"/>
      <c r="B50" s="8" t="s">
        <v>14</v>
      </c>
      <c r="C50" s="75">
        <v>156</v>
      </c>
      <c r="D50" s="9" t="s">
        <v>34</v>
      </c>
    </row>
    <row r="51" spans="1:5" x14ac:dyDescent="0.3">
      <c r="A51" s="8"/>
      <c r="B51" s="74" t="s">
        <v>319</v>
      </c>
      <c r="C51" s="9"/>
      <c r="D51" s="9">
        <v>1200</v>
      </c>
    </row>
    <row r="52" spans="1:5" x14ac:dyDescent="0.3">
      <c r="A52" s="8"/>
      <c r="B52" s="8" t="s">
        <v>326</v>
      </c>
      <c r="C52" s="9"/>
      <c r="D52" s="9"/>
    </row>
    <row r="53" spans="1:5" x14ac:dyDescent="0.3">
      <c r="A53" s="7" t="s">
        <v>34</v>
      </c>
      <c r="B53" s="8" t="s">
        <v>34</v>
      </c>
      <c r="C53" s="9"/>
      <c r="D53" s="11"/>
    </row>
    <row r="54" spans="1:5" x14ac:dyDescent="0.3">
      <c r="A54" s="8"/>
      <c r="B54" s="8" t="s">
        <v>34</v>
      </c>
      <c r="C54" s="9" t="s">
        <v>34</v>
      </c>
      <c r="D54" s="9"/>
    </row>
    <row r="55" spans="1:5" x14ac:dyDescent="0.3">
      <c r="A55" s="8"/>
      <c r="B55" s="8" t="s">
        <v>34</v>
      </c>
      <c r="C55" s="9"/>
      <c r="D55" s="9" t="s">
        <v>34</v>
      </c>
      <c r="E55" t="s">
        <v>34</v>
      </c>
    </row>
    <row r="56" spans="1:5" x14ac:dyDescent="0.3">
      <c r="A56" s="7"/>
      <c r="B56" s="8" t="s">
        <v>34</v>
      </c>
      <c r="C56" s="9"/>
      <c r="D56" s="9" t="s">
        <v>34</v>
      </c>
    </row>
    <row r="57" spans="1:5" x14ac:dyDescent="0.3">
      <c r="A57" s="8"/>
      <c r="B57" s="8" t="s">
        <v>34</v>
      </c>
      <c r="C57" s="9"/>
      <c r="D57" s="9"/>
    </row>
    <row r="58" spans="1:5" x14ac:dyDescent="0.3">
      <c r="A58" s="7" t="s">
        <v>34</v>
      </c>
      <c r="B58" s="8" t="s">
        <v>34</v>
      </c>
      <c r="C58" s="9"/>
      <c r="D58" s="9"/>
    </row>
    <row r="59" spans="1:5" x14ac:dyDescent="0.3">
      <c r="A59" s="8"/>
      <c r="B59" s="8" t="s">
        <v>34</v>
      </c>
      <c r="C59" s="9" t="s">
        <v>34</v>
      </c>
      <c r="D59" s="9"/>
    </row>
    <row r="60" spans="1:5" x14ac:dyDescent="0.3">
      <c r="A60" s="8"/>
      <c r="B60" s="8" t="s">
        <v>34</v>
      </c>
      <c r="C60" s="9" t="s">
        <v>327</v>
      </c>
      <c r="D60" s="9"/>
    </row>
    <row r="61" spans="1:5" x14ac:dyDescent="0.3">
      <c r="A61" s="7"/>
      <c r="B61" s="8" t="s">
        <v>34</v>
      </c>
      <c r="C61" s="9" t="s">
        <v>34</v>
      </c>
      <c r="D61" s="9"/>
    </row>
    <row r="62" spans="1:5" x14ac:dyDescent="0.3">
      <c r="A62" s="8"/>
      <c r="B62" s="8" t="s">
        <v>34</v>
      </c>
      <c r="C62" s="9" t="s">
        <v>34</v>
      </c>
      <c r="D62" s="9"/>
    </row>
    <row r="63" spans="1:5" x14ac:dyDescent="0.3">
      <c r="A63" s="8"/>
      <c r="B63" s="8" t="s">
        <v>34</v>
      </c>
      <c r="C63" s="9" t="s">
        <v>34</v>
      </c>
      <c r="D63" s="9"/>
    </row>
    <row r="64" spans="1:5" x14ac:dyDescent="0.3">
      <c r="A64" s="8"/>
      <c r="B64" s="8" t="s">
        <v>34</v>
      </c>
      <c r="C64" s="9"/>
      <c r="D64" s="9" t="s">
        <v>34</v>
      </c>
      <c r="E64" s="1"/>
    </row>
    <row r="65" spans="1:4" x14ac:dyDescent="0.3">
      <c r="A65" s="8"/>
      <c r="B65" s="8" t="s">
        <v>34</v>
      </c>
      <c r="C65" s="9"/>
      <c r="D65" s="9" t="s">
        <v>34</v>
      </c>
    </row>
    <row r="66" spans="1:4" x14ac:dyDescent="0.3">
      <c r="A66" s="8"/>
      <c r="B66" s="8" t="s">
        <v>34</v>
      </c>
      <c r="C66" s="9"/>
      <c r="D66" s="9" t="s">
        <v>34</v>
      </c>
    </row>
    <row r="67" spans="1:4" x14ac:dyDescent="0.3">
      <c r="A67" s="8"/>
      <c r="B67" s="8" t="s">
        <v>34</v>
      </c>
      <c r="C67" s="9"/>
      <c r="D67" s="9" t="s">
        <v>34</v>
      </c>
    </row>
    <row r="68" spans="1:4" x14ac:dyDescent="0.3">
      <c r="A68" s="8"/>
      <c r="B68" s="8" t="s">
        <v>34</v>
      </c>
      <c r="C68" s="9" t="s">
        <v>34</v>
      </c>
      <c r="D68" s="9" t="s">
        <v>34</v>
      </c>
    </row>
    <row r="69" spans="1:4" x14ac:dyDescent="0.3">
      <c r="A69" s="8"/>
      <c r="B69" s="8" t="s">
        <v>34</v>
      </c>
      <c r="C69" s="9" t="s">
        <v>34</v>
      </c>
      <c r="D69" s="9"/>
    </row>
    <row r="70" spans="1:4" x14ac:dyDescent="0.3">
      <c r="A70" s="7" t="s">
        <v>34</v>
      </c>
      <c r="B70" s="8" t="s">
        <v>327</v>
      </c>
      <c r="C70" s="9" t="s">
        <v>34</v>
      </c>
      <c r="D70" s="9"/>
    </row>
    <row r="71" spans="1:4" x14ac:dyDescent="0.3">
      <c r="A71" s="8" t="s">
        <v>34</v>
      </c>
      <c r="B71" s="8" t="s">
        <v>34</v>
      </c>
      <c r="C71" s="9" t="s">
        <v>327</v>
      </c>
      <c r="D71" s="9"/>
    </row>
    <row r="72" spans="1:4" x14ac:dyDescent="0.3">
      <c r="A72" s="8" t="s">
        <v>34</v>
      </c>
      <c r="B72" s="8" t="s">
        <v>34</v>
      </c>
      <c r="C72" s="9" t="s">
        <v>34</v>
      </c>
      <c r="D72" s="9"/>
    </row>
    <row r="73" spans="1:4" x14ac:dyDescent="0.3">
      <c r="A73" s="8" t="s">
        <v>34</v>
      </c>
      <c r="B73" s="12" t="s">
        <v>34</v>
      </c>
      <c r="C73" s="13"/>
      <c r="D73" s="13" t="s">
        <v>34</v>
      </c>
    </row>
    <row r="74" spans="1:4" x14ac:dyDescent="0.3">
      <c r="A74" s="8" t="s">
        <v>34</v>
      </c>
      <c r="B74" s="8" t="s">
        <v>34</v>
      </c>
      <c r="C74" s="9"/>
      <c r="D74" s="9" t="s">
        <v>34</v>
      </c>
    </row>
    <row r="75" spans="1:4" x14ac:dyDescent="0.3">
      <c r="A75" s="8" t="s">
        <v>34</v>
      </c>
      <c r="B75" s="8" t="s">
        <v>34</v>
      </c>
      <c r="C75" s="9"/>
      <c r="D75" s="9" t="s">
        <v>34</v>
      </c>
    </row>
    <row r="76" spans="1:4" x14ac:dyDescent="0.3">
      <c r="A76" s="7" t="s">
        <v>34</v>
      </c>
      <c r="B76" s="8" t="s">
        <v>34</v>
      </c>
      <c r="C76" s="9"/>
      <c r="D76" s="9" t="s">
        <v>327</v>
      </c>
    </row>
    <row r="77" spans="1:4" x14ac:dyDescent="0.3">
      <c r="A77" s="8" t="s">
        <v>34</v>
      </c>
      <c r="B77" s="12" t="s">
        <v>34</v>
      </c>
      <c r="C77" s="13" t="s">
        <v>34</v>
      </c>
      <c r="D77" s="9" t="s">
        <v>34</v>
      </c>
    </row>
    <row r="78" spans="1:4" x14ac:dyDescent="0.3">
      <c r="A78" s="8" t="s">
        <v>34</v>
      </c>
      <c r="B78" s="8" t="s">
        <v>34</v>
      </c>
      <c r="C78" s="9" t="s">
        <v>34</v>
      </c>
      <c r="D78" s="9" t="s">
        <v>34</v>
      </c>
    </row>
    <row r="79" spans="1:4" x14ac:dyDescent="0.3">
      <c r="A79" s="8" t="s">
        <v>34</v>
      </c>
      <c r="B79" s="8" t="s">
        <v>327</v>
      </c>
      <c r="C79" s="9"/>
      <c r="D79" s="9" t="s">
        <v>327</v>
      </c>
    </row>
    <row r="80" spans="1:4" x14ac:dyDescent="0.3">
      <c r="A80" s="7" t="s">
        <v>34</v>
      </c>
      <c r="B80" s="8" t="s">
        <v>34</v>
      </c>
      <c r="C80" s="9" t="s">
        <v>34</v>
      </c>
      <c r="D80" s="9" t="s">
        <v>34</v>
      </c>
    </row>
    <row r="81" spans="1:4" x14ac:dyDescent="0.3">
      <c r="A81" s="8" t="s">
        <v>34</v>
      </c>
      <c r="B81" s="8" t="s">
        <v>34</v>
      </c>
      <c r="C81" s="9" t="s">
        <v>34</v>
      </c>
      <c r="D81" s="9" t="s">
        <v>34</v>
      </c>
    </row>
    <row r="82" spans="1:4" x14ac:dyDescent="0.3">
      <c r="A82" s="8" t="s">
        <v>34</v>
      </c>
      <c r="B82" s="8" t="s">
        <v>34</v>
      </c>
      <c r="C82" s="9" t="s">
        <v>34</v>
      </c>
      <c r="D82" s="9" t="s">
        <v>34</v>
      </c>
    </row>
    <row r="83" spans="1:4" x14ac:dyDescent="0.3">
      <c r="A83" s="8"/>
      <c r="B83" s="8" t="s">
        <v>34</v>
      </c>
      <c r="C83" s="9" t="s">
        <v>34</v>
      </c>
      <c r="D83" s="9" t="s">
        <v>34</v>
      </c>
    </row>
    <row r="84" spans="1:4" x14ac:dyDescent="0.3">
      <c r="A84" s="8" t="s">
        <v>327</v>
      </c>
      <c r="B84" s="8" t="s">
        <v>34</v>
      </c>
      <c r="C84" s="9" t="s">
        <v>34</v>
      </c>
      <c r="D84" s="9" t="s">
        <v>327</v>
      </c>
    </row>
    <row r="85" spans="1:4" x14ac:dyDescent="0.3">
      <c r="A85" s="8" t="s">
        <v>327</v>
      </c>
      <c r="B85" s="8" t="s">
        <v>327</v>
      </c>
      <c r="C85" s="9" t="s">
        <v>34</v>
      </c>
      <c r="D85" s="9" t="s">
        <v>34</v>
      </c>
    </row>
    <row r="86" spans="1:4" x14ac:dyDescent="0.3">
      <c r="A86" s="8"/>
      <c r="B86" s="8" t="s">
        <v>34</v>
      </c>
      <c r="C86" s="9" t="s">
        <v>34</v>
      </c>
      <c r="D86" s="9" t="s">
        <v>34</v>
      </c>
    </row>
    <row r="87" spans="1:4" x14ac:dyDescent="0.3">
      <c r="A87" s="7" t="s">
        <v>327</v>
      </c>
      <c r="B87" s="8" t="s">
        <v>34</v>
      </c>
      <c r="C87" s="9" t="s">
        <v>34</v>
      </c>
      <c r="D87" s="9" t="s">
        <v>34</v>
      </c>
    </row>
    <row r="88" spans="1:4" x14ac:dyDescent="0.3">
      <c r="A88" s="8" t="s">
        <v>34</v>
      </c>
      <c r="B88" s="8" t="s">
        <v>34</v>
      </c>
      <c r="C88" s="9" t="s">
        <v>34</v>
      </c>
      <c r="D88" s="9" t="s">
        <v>34</v>
      </c>
    </row>
    <row r="89" spans="1:4" x14ac:dyDescent="0.3">
      <c r="A89" s="8"/>
      <c r="B89" s="8" t="s">
        <v>34</v>
      </c>
      <c r="C89" s="9"/>
      <c r="D89" s="9" t="s">
        <v>34</v>
      </c>
    </row>
    <row r="90" spans="1:4" x14ac:dyDescent="0.3">
      <c r="A90" s="8"/>
      <c r="B90" s="8" t="s">
        <v>34</v>
      </c>
      <c r="C90" s="9"/>
      <c r="D90" s="9"/>
    </row>
    <row r="91" spans="1:4" x14ac:dyDescent="0.3">
      <c r="A91" s="8"/>
      <c r="B91" s="8" t="s">
        <v>327</v>
      </c>
      <c r="C91" s="9" t="s">
        <v>34</v>
      </c>
      <c r="D91" s="9"/>
    </row>
    <row r="92" spans="1:4" x14ac:dyDescent="0.3">
      <c r="A92" s="8"/>
      <c r="B92" s="8" t="s">
        <v>34</v>
      </c>
      <c r="C92" s="9"/>
      <c r="D92" s="9"/>
    </row>
    <row r="93" spans="1:4" x14ac:dyDescent="0.3">
      <c r="A93" s="8"/>
      <c r="B93" s="8" t="s">
        <v>34</v>
      </c>
      <c r="C93" s="9"/>
      <c r="D93" s="9"/>
    </row>
    <row r="94" spans="1:4" x14ac:dyDescent="0.3">
      <c r="A94" s="8"/>
      <c r="B94" s="8" t="s">
        <v>34</v>
      </c>
      <c r="C94" s="9"/>
      <c r="D94" s="9"/>
    </row>
    <row r="95" spans="1:4" x14ac:dyDescent="0.3">
      <c r="A95" s="8"/>
      <c r="B95" s="8" t="s">
        <v>34</v>
      </c>
      <c r="C95" s="9"/>
      <c r="D95" s="9"/>
    </row>
    <row r="96" spans="1:4" x14ac:dyDescent="0.3">
      <c r="A96" s="8"/>
      <c r="B96" s="8" t="s">
        <v>34</v>
      </c>
      <c r="C96" s="9"/>
      <c r="D96" s="9"/>
    </row>
    <row r="97" spans="1:4" x14ac:dyDescent="0.3">
      <c r="A97" s="8"/>
      <c r="B97" s="8" t="s">
        <v>327</v>
      </c>
      <c r="C97" s="9"/>
      <c r="D97" s="9"/>
    </row>
    <row r="98" spans="1:4" x14ac:dyDescent="0.3">
      <c r="A98" s="8"/>
      <c r="B98" s="8" t="s">
        <v>34</v>
      </c>
      <c r="C98" s="9"/>
      <c r="D98" s="9"/>
    </row>
    <row r="99" spans="1:4" x14ac:dyDescent="0.3">
      <c r="A99" s="8"/>
      <c r="B99" s="8" t="s">
        <v>34</v>
      </c>
      <c r="C99" s="9"/>
      <c r="D99" s="9"/>
    </row>
    <row r="100" spans="1:4" x14ac:dyDescent="0.3">
      <c r="A100" s="8"/>
      <c r="B100" s="8" t="s">
        <v>34</v>
      </c>
      <c r="C100" s="9"/>
      <c r="D100" s="9"/>
    </row>
    <row r="101" spans="1:4" x14ac:dyDescent="0.3">
      <c r="A101" s="8"/>
      <c r="B101" s="8" t="s">
        <v>34</v>
      </c>
      <c r="C101" s="9"/>
      <c r="D101" s="9"/>
    </row>
    <row r="102" spans="1:4" x14ac:dyDescent="0.3">
      <c r="A102" s="8"/>
      <c r="B102" s="8" t="s">
        <v>34</v>
      </c>
      <c r="C102" s="9"/>
      <c r="D102" s="9"/>
    </row>
    <row r="103" spans="1:4" x14ac:dyDescent="0.3">
      <c r="A103" s="8"/>
      <c r="B103" s="8" t="s">
        <v>34</v>
      </c>
      <c r="C103" s="9"/>
      <c r="D103" s="9"/>
    </row>
    <row r="104" spans="1:4" x14ac:dyDescent="0.3">
      <c r="A104" s="8"/>
      <c r="B104" s="8" t="s">
        <v>34</v>
      </c>
      <c r="C104" s="9"/>
      <c r="D104" s="9"/>
    </row>
    <row r="105" spans="1:4" x14ac:dyDescent="0.3">
      <c r="A105" s="8"/>
      <c r="B105" s="8" t="s">
        <v>327</v>
      </c>
      <c r="C105" s="9"/>
      <c r="D105" s="9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830E-6DBD-468B-ACD5-B660F5C16ED6}">
  <dimension ref="A3:N59"/>
  <sheetViews>
    <sheetView topLeftCell="A11" workbookViewId="0">
      <selection activeCell="J27" sqref="J27:K27"/>
    </sheetView>
  </sheetViews>
  <sheetFormatPr baseColWidth="10" defaultRowHeight="14.4" x14ac:dyDescent="0.3"/>
  <cols>
    <col min="1" max="2" width="11.5546875" style="1"/>
    <col min="3" max="3" width="5.109375" style="1" customWidth="1"/>
    <col min="4" max="5" width="11.5546875" style="1"/>
    <col min="6" max="6" width="5.109375" style="1" customWidth="1"/>
    <col min="7" max="8" width="11.5546875" style="1"/>
    <col min="9" max="9" width="5.109375" style="1" customWidth="1"/>
    <col min="10" max="11" width="11.5546875" style="1"/>
    <col min="12" max="12" width="5.109375" style="1" customWidth="1"/>
    <col min="13" max="14" width="11.5546875" style="1"/>
  </cols>
  <sheetData>
    <row r="3" spans="1:14" s="2" customFormat="1" x14ac:dyDescent="0.3">
      <c r="A3" s="65" t="s">
        <v>35</v>
      </c>
      <c r="B3" s="65"/>
      <c r="C3" s="4"/>
      <c r="D3" s="65" t="s">
        <v>10</v>
      </c>
      <c r="E3" s="65"/>
      <c r="F3" s="4"/>
      <c r="G3" s="65" t="s">
        <v>328</v>
      </c>
      <c r="H3" s="65"/>
      <c r="I3" s="4"/>
      <c r="J3" s="65" t="s">
        <v>11</v>
      </c>
      <c r="K3" s="65"/>
      <c r="L3" s="4"/>
      <c r="M3" s="65" t="s">
        <v>316</v>
      </c>
      <c r="N3" s="65"/>
    </row>
    <row r="4" spans="1:14" x14ac:dyDescent="0.3">
      <c r="A4" s="15">
        <v>7000</v>
      </c>
      <c r="B4" s="1">
        <v>100</v>
      </c>
      <c r="D4" s="15">
        <v>26000</v>
      </c>
      <c r="E4" s="1">
        <v>8000</v>
      </c>
      <c r="G4" s="16">
        <v>8000</v>
      </c>
      <c r="H4" s="17">
        <v>0</v>
      </c>
      <c r="J4" s="15">
        <v>6000</v>
      </c>
      <c r="K4" s="1">
        <v>0</v>
      </c>
      <c r="M4" s="15">
        <v>0</v>
      </c>
      <c r="N4" s="1">
        <v>6090</v>
      </c>
    </row>
    <row r="5" spans="1:14" x14ac:dyDescent="0.3">
      <c r="A5" s="18">
        <v>8000</v>
      </c>
      <c r="B5" s="1">
        <v>1500</v>
      </c>
      <c r="D5" s="19" t="s">
        <v>34</v>
      </c>
      <c r="E5" s="3"/>
      <c r="G5" s="16">
        <v>7830</v>
      </c>
      <c r="H5" s="17">
        <v>0</v>
      </c>
      <c r="J5" s="18">
        <v>1305</v>
      </c>
      <c r="K5" s="1">
        <v>0</v>
      </c>
      <c r="M5" s="18"/>
      <c r="N5" s="1">
        <v>8700</v>
      </c>
    </row>
    <row r="6" spans="1:14" x14ac:dyDescent="0.3">
      <c r="A6" s="18">
        <v>8000</v>
      </c>
      <c r="B6" s="1">
        <v>1200</v>
      </c>
      <c r="D6" s="16">
        <f>+D4</f>
        <v>26000</v>
      </c>
      <c r="E6" s="17">
        <f>+E4</f>
        <v>8000</v>
      </c>
      <c r="G6" s="20">
        <f>+G5</f>
        <v>7830</v>
      </c>
      <c r="J6" s="20">
        <f>J4+J5</f>
        <v>7305</v>
      </c>
      <c r="M6" s="18"/>
      <c r="N6" s="21">
        <f>N4+N5</f>
        <v>14790</v>
      </c>
    </row>
    <row r="7" spans="1:14" x14ac:dyDescent="0.3">
      <c r="A7" s="18"/>
      <c r="B7" s="1" t="s">
        <v>34</v>
      </c>
      <c r="D7" s="20">
        <f>+D6-E6</f>
        <v>18000</v>
      </c>
      <c r="G7" s="18"/>
      <c r="J7" s="18"/>
      <c r="M7" s="18"/>
    </row>
    <row r="8" spans="1:14" x14ac:dyDescent="0.3">
      <c r="A8" s="18"/>
      <c r="B8" s="1" t="s">
        <v>34</v>
      </c>
      <c r="D8" s="18"/>
      <c r="G8" s="18"/>
      <c r="J8" s="18"/>
      <c r="M8" s="18"/>
    </row>
    <row r="9" spans="1:14" x14ac:dyDescent="0.3">
      <c r="A9" s="19"/>
      <c r="B9" s="3" t="s">
        <v>34</v>
      </c>
      <c r="D9" s="18"/>
      <c r="G9" s="18"/>
      <c r="J9" s="18"/>
      <c r="M9" s="18"/>
    </row>
    <row r="10" spans="1:14" x14ac:dyDescent="0.3">
      <c r="A10" s="16">
        <f t="shared" ref="A10:B10" si="0">SUM(A4:A9)</f>
        <v>23000</v>
      </c>
      <c r="B10" s="17">
        <f t="shared" si="0"/>
        <v>2800</v>
      </c>
      <c r="D10" s="18"/>
      <c r="G10" s="18"/>
      <c r="J10" s="18"/>
      <c r="M10" s="18"/>
    </row>
    <row r="11" spans="1:14" x14ac:dyDescent="0.3">
      <c r="A11" s="21">
        <f>+A10-B10</f>
        <v>20200</v>
      </c>
    </row>
    <row r="14" spans="1:14" s="2" customFormat="1" x14ac:dyDescent="0.3">
      <c r="A14" s="65" t="s">
        <v>33</v>
      </c>
      <c r="B14" s="65"/>
      <c r="C14" s="4"/>
      <c r="D14" s="76" t="s">
        <v>14</v>
      </c>
      <c r="E14" s="76"/>
      <c r="F14" s="4"/>
      <c r="G14" s="65" t="s">
        <v>19</v>
      </c>
      <c r="H14" s="65"/>
      <c r="I14" s="4"/>
      <c r="J14" s="65" t="s">
        <v>50</v>
      </c>
      <c r="K14" s="65"/>
      <c r="L14" s="4"/>
      <c r="M14" s="65" t="s">
        <v>48</v>
      </c>
      <c r="N14" s="65"/>
    </row>
    <row r="15" spans="1:14" x14ac:dyDescent="0.3">
      <c r="A15" s="15">
        <v>0</v>
      </c>
      <c r="B15" s="1">
        <v>910</v>
      </c>
      <c r="D15" s="15">
        <v>1170</v>
      </c>
      <c r="E15" s="1">
        <v>0</v>
      </c>
      <c r="G15" s="15">
        <v>210</v>
      </c>
      <c r="J15" s="15">
        <v>0</v>
      </c>
      <c r="K15" s="1">
        <v>210</v>
      </c>
      <c r="M15" s="15"/>
      <c r="N15" s="1">
        <v>40000</v>
      </c>
    </row>
    <row r="16" spans="1:14" x14ac:dyDescent="0.3">
      <c r="A16" s="18"/>
      <c r="B16" s="1">
        <v>1300</v>
      </c>
      <c r="D16" s="18">
        <v>13</v>
      </c>
      <c r="G16" s="18">
        <v>300</v>
      </c>
      <c r="J16" s="18"/>
      <c r="K16" s="1">
        <v>300</v>
      </c>
      <c r="M16" s="18"/>
    </row>
    <row r="17" spans="1:14" x14ac:dyDescent="0.3">
      <c r="A17" s="18"/>
      <c r="B17" s="21">
        <f>B15+B16</f>
        <v>2210</v>
      </c>
      <c r="D17" s="18">
        <v>195</v>
      </c>
      <c r="F17" s="1" t="s">
        <v>34</v>
      </c>
      <c r="G17" s="20">
        <f>G15+G16</f>
        <v>510</v>
      </c>
      <c r="J17" s="18"/>
      <c r="K17" s="21">
        <f>K16+K15</f>
        <v>510</v>
      </c>
      <c r="M17" s="18"/>
      <c r="N17" s="21">
        <f>+N15</f>
        <v>40000</v>
      </c>
    </row>
    <row r="18" spans="1:14" x14ac:dyDescent="0.3">
      <c r="A18" s="18"/>
      <c r="D18" s="18">
        <v>156</v>
      </c>
      <c r="G18" s="18"/>
      <c r="J18" s="18"/>
      <c r="M18" s="18"/>
      <c r="N18" s="77"/>
    </row>
    <row r="19" spans="1:14" x14ac:dyDescent="0.3">
      <c r="A19" s="18"/>
      <c r="D19" s="18" t="s">
        <v>34</v>
      </c>
      <c r="G19" s="18"/>
      <c r="J19" s="18"/>
      <c r="M19" s="18"/>
    </row>
    <row r="20" spans="1:14" x14ac:dyDescent="0.3">
      <c r="A20" s="18"/>
      <c r="D20" s="18" t="s">
        <v>34</v>
      </c>
      <c r="G20" s="18"/>
      <c r="J20" s="18"/>
      <c r="M20" s="18"/>
    </row>
    <row r="21" spans="1:14" x14ac:dyDescent="0.3">
      <c r="A21" s="18"/>
      <c r="D21" s="19" t="s">
        <v>34</v>
      </c>
      <c r="E21" s="3"/>
      <c r="G21" s="18"/>
      <c r="J21" s="18"/>
      <c r="M21" s="18"/>
    </row>
    <row r="22" spans="1:14" x14ac:dyDescent="0.3">
      <c r="D22" s="22">
        <f>SUM(D15:D21)</f>
        <v>1534</v>
      </c>
      <c r="E22" s="22">
        <f>SUM(E15:E21)</f>
        <v>0</v>
      </c>
    </row>
    <row r="23" spans="1:14" x14ac:dyDescent="0.3">
      <c r="D23" s="20">
        <f>D22-E22</f>
        <v>1534</v>
      </c>
    </row>
    <row r="24" spans="1:14" x14ac:dyDescent="0.3">
      <c r="D24" s="18"/>
    </row>
    <row r="27" spans="1:14" s="2" customFormat="1" x14ac:dyDescent="0.3">
      <c r="A27" s="76" t="s">
        <v>85</v>
      </c>
      <c r="B27" s="76"/>
      <c r="C27" s="4"/>
      <c r="D27" s="65" t="s">
        <v>325</v>
      </c>
      <c r="E27" s="65"/>
      <c r="F27" s="4"/>
      <c r="G27" s="67" t="s">
        <v>329</v>
      </c>
      <c r="H27" s="67"/>
      <c r="I27" s="4"/>
      <c r="J27" s="67" t="s">
        <v>330</v>
      </c>
      <c r="K27" s="67"/>
      <c r="L27" s="4"/>
      <c r="M27" s="67" t="s">
        <v>34</v>
      </c>
      <c r="N27" s="67"/>
    </row>
    <row r="28" spans="1:14" x14ac:dyDescent="0.3">
      <c r="A28" s="15">
        <v>2000</v>
      </c>
      <c r="B28" s="1" t="s">
        <v>34</v>
      </c>
      <c r="D28" s="15">
        <v>1044</v>
      </c>
      <c r="E28" s="1">
        <v>0</v>
      </c>
      <c r="G28" s="15">
        <v>0</v>
      </c>
      <c r="H28" s="1">
        <v>9000</v>
      </c>
      <c r="J28" s="80">
        <v>87</v>
      </c>
      <c r="K28" s="82" t="s">
        <v>34</v>
      </c>
      <c r="M28" s="15" t="s">
        <v>34</v>
      </c>
    </row>
    <row r="29" spans="1:14" x14ac:dyDescent="0.3">
      <c r="A29" s="18"/>
      <c r="B29" s="1" t="s">
        <v>34</v>
      </c>
      <c r="D29" s="18"/>
      <c r="G29" s="18"/>
      <c r="J29" s="79" t="s">
        <v>34</v>
      </c>
      <c r="K29" s="83" t="s">
        <v>34</v>
      </c>
      <c r="M29" s="18"/>
    </row>
    <row r="30" spans="1:14" x14ac:dyDescent="0.3">
      <c r="A30" s="19"/>
      <c r="B30" s="23" t="s">
        <v>34</v>
      </c>
      <c r="D30" s="18"/>
      <c r="G30" s="18"/>
      <c r="J30" s="3" t="s">
        <v>34</v>
      </c>
      <c r="K30" s="83" t="s">
        <v>34</v>
      </c>
      <c r="M30" s="18"/>
    </row>
    <row r="31" spans="1:14" x14ac:dyDescent="0.3">
      <c r="A31" s="78">
        <f>A28</f>
        <v>2000</v>
      </c>
      <c r="B31" s="24" t="s">
        <v>34</v>
      </c>
      <c r="D31" s="20">
        <f>+D28</f>
        <v>1044</v>
      </c>
      <c r="G31" s="18"/>
      <c r="H31" s="21">
        <f>H28</f>
        <v>9000</v>
      </c>
      <c r="J31" s="81">
        <v>87</v>
      </c>
      <c r="K31" s="83" t="s">
        <v>34</v>
      </c>
      <c r="M31" s="18"/>
    </row>
    <row r="32" spans="1:14" x14ac:dyDescent="0.3">
      <c r="A32" s="18"/>
      <c r="B32" s="77" t="s">
        <v>34</v>
      </c>
      <c r="D32" s="18"/>
      <c r="G32" s="18"/>
      <c r="J32" s="79"/>
      <c r="K32" s="83"/>
      <c r="M32" s="18"/>
    </row>
    <row r="33" spans="1:14" x14ac:dyDescent="0.3">
      <c r="A33" s="18"/>
      <c r="D33" s="18"/>
      <c r="G33" s="18"/>
      <c r="J33" s="79"/>
      <c r="K33" s="83"/>
      <c r="M33" s="18"/>
    </row>
    <row r="35" spans="1:14" ht="9" hidden="1" customHeight="1" x14ac:dyDescent="0.3"/>
    <row r="36" spans="1:14" s="27" customFormat="1" ht="12" hidden="1" x14ac:dyDescent="0.25">
      <c r="A36" s="68" t="s">
        <v>25</v>
      </c>
      <c r="B36" s="68"/>
      <c r="C36" s="25"/>
      <c r="D36" s="68" t="s">
        <v>26</v>
      </c>
      <c r="E36" s="68"/>
      <c r="F36" s="26"/>
      <c r="G36" s="67" t="s">
        <v>52</v>
      </c>
      <c r="H36" s="67"/>
      <c r="I36" s="26"/>
      <c r="J36" s="67" t="s">
        <v>53</v>
      </c>
      <c r="K36" s="67"/>
      <c r="L36" s="26"/>
      <c r="M36" s="67" t="s">
        <v>54</v>
      </c>
      <c r="N36" s="67"/>
    </row>
    <row r="37" spans="1:14" hidden="1" x14ac:dyDescent="0.3">
      <c r="A37" s="15"/>
      <c r="B37" s="1">
        <v>3177.5</v>
      </c>
      <c r="D37" s="15">
        <v>1677.5</v>
      </c>
      <c r="G37" s="15">
        <v>2500</v>
      </c>
      <c r="J37" s="15">
        <v>2083.33</v>
      </c>
      <c r="M37" s="15">
        <f>+J37</f>
        <v>2083.33</v>
      </c>
    </row>
    <row r="38" spans="1:14" hidden="1" x14ac:dyDescent="0.3">
      <c r="A38" s="18"/>
      <c r="D38" s="18"/>
      <c r="G38" s="18"/>
      <c r="J38" s="18"/>
      <c r="M38" s="18"/>
    </row>
    <row r="39" spans="1:14" hidden="1" x14ac:dyDescent="0.3">
      <c r="A39" s="18"/>
      <c r="D39" s="18"/>
      <c r="G39" s="18"/>
      <c r="J39" s="18"/>
      <c r="M39" s="18"/>
    </row>
    <row r="40" spans="1:14" hidden="1" x14ac:dyDescent="0.3"/>
    <row r="41" spans="1:14" hidden="1" x14ac:dyDescent="0.3"/>
    <row r="42" spans="1:14" s="2" customFormat="1" hidden="1" x14ac:dyDescent="0.3">
      <c r="A42" s="65" t="s">
        <v>55</v>
      </c>
      <c r="B42" s="65"/>
      <c r="C42" s="4"/>
      <c r="D42" s="66" t="s">
        <v>27</v>
      </c>
      <c r="E42" s="66"/>
      <c r="F42" s="4"/>
      <c r="G42" s="65" t="s">
        <v>28</v>
      </c>
      <c r="H42" s="65"/>
      <c r="I42" s="4"/>
      <c r="J42" s="65" t="s">
        <v>29</v>
      </c>
      <c r="K42" s="65"/>
      <c r="L42" s="4"/>
      <c r="M42" s="65" t="s">
        <v>30</v>
      </c>
      <c r="N42" s="65"/>
    </row>
    <row r="43" spans="1:14" hidden="1" x14ac:dyDescent="0.3">
      <c r="A43" s="15">
        <f>+J37</f>
        <v>2083.33</v>
      </c>
      <c r="D43" s="15"/>
      <c r="E43" s="1">
        <f>+D37</f>
        <v>1677.5</v>
      </c>
      <c r="G43" s="15"/>
      <c r="H43" s="1">
        <f>+G37</f>
        <v>2500</v>
      </c>
      <c r="J43" s="15"/>
      <c r="K43" s="1">
        <f>+J37</f>
        <v>2083.33</v>
      </c>
      <c r="M43" s="15"/>
      <c r="N43" s="1">
        <f>+K43</f>
        <v>2083.33</v>
      </c>
    </row>
    <row r="44" spans="1:14" hidden="1" x14ac:dyDescent="0.3">
      <c r="A44" s="18"/>
      <c r="D44" s="18"/>
      <c r="G44" s="18"/>
      <c r="J44" s="18"/>
      <c r="M44" s="18"/>
    </row>
    <row r="45" spans="1:14" hidden="1" x14ac:dyDescent="0.3">
      <c r="A45" s="18"/>
      <c r="D45" s="18"/>
      <c r="G45" s="18"/>
      <c r="J45" s="18"/>
      <c r="M45" s="18"/>
    </row>
    <row r="46" spans="1:14" hidden="1" x14ac:dyDescent="0.3"/>
    <row r="47" spans="1:14" hidden="1" x14ac:dyDescent="0.3"/>
    <row r="48" spans="1:14" s="2" customFormat="1" hidden="1" x14ac:dyDescent="0.3">
      <c r="A48" s="65" t="s">
        <v>31</v>
      </c>
      <c r="B48" s="65"/>
      <c r="C48" s="4"/>
      <c r="D48" s="65" t="s">
        <v>32</v>
      </c>
      <c r="E48" s="65"/>
      <c r="F48" s="4"/>
      <c r="G48" s="65" t="s">
        <v>36</v>
      </c>
      <c r="H48" s="65"/>
      <c r="I48" s="4"/>
      <c r="J48" s="65"/>
      <c r="K48" s="65"/>
      <c r="L48" s="4"/>
      <c r="M48" s="65"/>
      <c r="N48" s="65"/>
    </row>
    <row r="49" spans="1:13" hidden="1" x14ac:dyDescent="0.3">
      <c r="A49" s="15"/>
      <c r="B49" s="1">
        <f>+K43</f>
        <v>2083.33</v>
      </c>
      <c r="D49" s="15"/>
      <c r="E49" s="1">
        <v>522</v>
      </c>
      <c r="G49" s="15">
        <v>6438</v>
      </c>
      <c r="H49" s="1">
        <v>7134</v>
      </c>
      <c r="J49" s="15"/>
      <c r="M49" s="15"/>
    </row>
    <row r="50" spans="1:13" hidden="1" x14ac:dyDescent="0.3">
      <c r="A50" s="18"/>
      <c r="D50" s="18"/>
      <c r="G50" s="18">
        <v>7134</v>
      </c>
      <c r="J50" s="18"/>
      <c r="M50" s="18"/>
    </row>
    <row r="51" spans="1:13" hidden="1" x14ac:dyDescent="0.3">
      <c r="A51" s="18"/>
      <c r="D51" s="18"/>
      <c r="G51" s="18">
        <v>13050</v>
      </c>
      <c r="J51" s="18"/>
      <c r="M51" s="18"/>
    </row>
    <row r="52" spans="1:13" hidden="1" x14ac:dyDescent="0.3">
      <c r="A52" s="18"/>
      <c r="D52" s="18"/>
      <c r="G52" s="19">
        <v>10440</v>
      </c>
      <c r="H52" s="3"/>
      <c r="J52" s="18"/>
      <c r="M52" s="18"/>
    </row>
    <row r="53" spans="1:13" hidden="1" x14ac:dyDescent="0.3">
      <c r="A53" s="18"/>
      <c r="D53" s="18"/>
      <c r="G53" s="16">
        <f t="shared" ref="G53:H53" si="1">SUM(G49:G52)</f>
        <v>37062</v>
      </c>
      <c r="H53" s="17">
        <f t="shared" si="1"/>
        <v>7134</v>
      </c>
      <c r="J53" s="18"/>
      <c r="M53" s="18"/>
    </row>
    <row r="54" spans="1:13" hidden="1" x14ac:dyDescent="0.3">
      <c r="A54" s="18"/>
      <c r="D54" s="18"/>
      <c r="G54" s="20">
        <f>+G53-H53</f>
        <v>29928</v>
      </c>
      <c r="J54" s="18"/>
      <c r="M54" s="18"/>
    </row>
    <row r="55" spans="1:13" hidden="1" x14ac:dyDescent="0.3"/>
    <row r="56" spans="1:13" hidden="1" x14ac:dyDescent="0.3"/>
    <row r="57" spans="1:13" hidden="1" x14ac:dyDescent="0.3"/>
    <row r="58" spans="1:13" hidden="1" x14ac:dyDescent="0.3"/>
    <row r="59" spans="1:13" hidden="1" x14ac:dyDescent="0.3"/>
  </sheetData>
  <mergeCells count="30">
    <mergeCell ref="A14:B14"/>
    <mergeCell ref="D14:E14"/>
    <mergeCell ref="G14:H14"/>
    <mergeCell ref="J14:K14"/>
    <mergeCell ref="M14:N14"/>
    <mergeCell ref="A3:B3"/>
    <mergeCell ref="D3:E3"/>
    <mergeCell ref="G3:H3"/>
    <mergeCell ref="J3:K3"/>
    <mergeCell ref="M3:N3"/>
    <mergeCell ref="A36:B36"/>
    <mergeCell ref="D36:E36"/>
    <mergeCell ref="G36:H36"/>
    <mergeCell ref="J36:K36"/>
    <mergeCell ref="M36:N36"/>
    <mergeCell ref="A27:B27"/>
    <mergeCell ref="D27:E27"/>
    <mergeCell ref="G27:H27"/>
    <mergeCell ref="J27:K27"/>
    <mergeCell ref="M27:N27"/>
    <mergeCell ref="A48:B48"/>
    <mergeCell ref="D48:E48"/>
    <mergeCell ref="G48:H48"/>
    <mergeCell ref="J48:K48"/>
    <mergeCell ref="M48:N48"/>
    <mergeCell ref="A42:B42"/>
    <mergeCell ref="D42:E42"/>
    <mergeCell ref="G42:H42"/>
    <mergeCell ref="J42:K42"/>
    <mergeCell ref="M42:N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02F8-145B-4599-95C5-96A85199FC8A}">
  <dimension ref="A1:G36"/>
  <sheetViews>
    <sheetView workbookViewId="0">
      <selection activeCell="F35" sqref="F35"/>
    </sheetView>
  </sheetViews>
  <sheetFormatPr baseColWidth="10" defaultRowHeight="14.4" x14ac:dyDescent="0.3"/>
  <cols>
    <col min="1" max="1" width="5.109375" bestFit="1" customWidth="1"/>
    <col min="2" max="2" width="41.44140625" bestFit="1" customWidth="1"/>
    <col min="3" max="3" width="5.88671875" customWidth="1"/>
    <col min="4" max="7" width="11.5546875" style="1"/>
  </cols>
  <sheetData>
    <row r="1" spans="1:7" x14ac:dyDescent="0.3">
      <c r="A1" t="s">
        <v>37</v>
      </c>
    </row>
    <row r="2" spans="1:7" x14ac:dyDescent="0.3">
      <c r="A2" s="62" t="s">
        <v>38</v>
      </c>
      <c r="B2" s="62"/>
      <c r="C2" s="62"/>
      <c r="D2" s="62"/>
      <c r="E2" s="62"/>
      <c r="F2" s="62"/>
      <c r="G2" s="62"/>
    </row>
    <row r="3" spans="1:7" x14ac:dyDescent="0.3">
      <c r="A3" s="62" t="s">
        <v>39</v>
      </c>
      <c r="B3" s="62"/>
      <c r="C3" s="62"/>
      <c r="D3" s="62"/>
      <c r="E3" s="62"/>
      <c r="F3" s="62"/>
      <c r="G3" s="62"/>
    </row>
    <row r="4" spans="1:7" x14ac:dyDescent="0.3">
      <c r="A4" s="62" t="s">
        <v>40</v>
      </c>
      <c r="B4" s="62"/>
      <c r="C4" s="62"/>
      <c r="D4" s="62"/>
      <c r="E4" s="62"/>
      <c r="F4" s="62"/>
      <c r="G4" s="62"/>
    </row>
    <row r="5" spans="1:7" ht="6.75" customHeight="1" x14ac:dyDescent="0.3"/>
    <row r="6" spans="1:7" s="28" customFormat="1" x14ac:dyDescent="0.3">
      <c r="A6" s="69" t="s">
        <v>41</v>
      </c>
      <c r="B6" s="69" t="s">
        <v>42</v>
      </c>
      <c r="C6" s="69" t="s">
        <v>43</v>
      </c>
      <c r="D6" s="71" t="s">
        <v>44</v>
      </c>
      <c r="E6" s="71"/>
      <c r="F6" s="71" t="s">
        <v>45</v>
      </c>
      <c r="G6" s="71"/>
    </row>
    <row r="7" spans="1:7" s="28" customFormat="1" x14ac:dyDescent="0.3">
      <c r="A7" s="70"/>
      <c r="B7" s="70"/>
      <c r="C7" s="70"/>
      <c r="D7" s="29" t="s">
        <v>7</v>
      </c>
      <c r="E7" s="29" t="s">
        <v>8</v>
      </c>
      <c r="F7" s="29" t="s">
        <v>46</v>
      </c>
      <c r="G7" s="29" t="s">
        <v>47</v>
      </c>
    </row>
    <row r="8" spans="1:7" x14ac:dyDescent="0.3">
      <c r="A8" s="8">
        <v>1</v>
      </c>
      <c r="B8" s="14" t="s">
        <v>35</v>
      </c>
      <c r="C8" s="29"/>
      <c r="D8" s="9">
        <v>23000</v>
      </c>
      <c r="E8" s="9">
        <v>2800</v>
      </c>
      <c r="F8" s="9">
        <v>20200</v>
      </c>
      <c r="G8" s="9"/>
    </row>
    <row r="9" spans="1:7" x14ac:dyDescent="0.3">
      <c r="A9" s="8">
        <v>2</v>
      </c>
      <c r="B9" s="29" t="s">
        <v>10</v>
      </c>
      <c r="C9" s="8"/>
      <c r="D9" s="9">
        <v>26000</v>
      </c>
      <c r="E9" s="9">
        <v>8000</v>
      </c>
      <c r="F9" s="9">
        <v>18000</v>
      </c>
      <c r="G9" s="9"/>
    </row>
    <row r="10" spans="1:7" x14ac:dyDescent="0.3">
      <c r="A10" s="8">
        <v>3</v>
      </c>
      <c r="B10" s="29" t="s">
        <v>328</v>
      </c>
      <c r="C10" s="8"/>
      <c r="D10" s="9">
        <v>15830</v>
      </c>
      <c r="E10" s="9"/>
      <c r="F10" s="9">
        <v>15830</v>
      </c>
      <c r="G10" s="9"/>
    </row>
    <row r="11" spans="1:7" x14ac:dyDescent="0.3">
      <c r="A11" s="8">
        <v>4</v>
      </c>
      <c r="B11" s="14" t="s">
        <v>11</v>
      </c>
      <c r="C11" s="87"/>
      <c r="D11" s="9">
        <v>7305</v>
      </c>
      <c r="E11" s="9" t="s">
        <v>34</v>
      </c>
      <c r="F11" s="9">
        <v>7305</v>
      </c>
      <c r="G11" s="9"/>
    </row>
    <row r="12" spans="1:7" x14ac:dyDescent="0.3">
      <c r="A12" s="8">
        <v>5</v>
      </c>
      <c r="B12" s="14" t="s">
        <v>316</v>
      </c>
      <c r="C12" s="87"/>
      <c r="D12" s="9" t="s">
        <v>34</v>
      </c>
      <c r="E12" s="9">
        <v>14790</v>
      </c>
      <c r="F12" s="9"/>
      <c r="G12" s="9">
        <f>+E12</f>
        <v>14790</v>
      </c>
    </row>
    <row r="13" spans="1:7" x14ac:dyDescent="0.3">
      <c r="A13" s="8">
        <v>6</v>
      </c>
      <c r="B13" s="14" t="s">
        <v>33</v>
      </c>
      <c r="C13" s="87"/>
      <c r="D13" s="9" t="s">
        <v>34</v>
      </c>
      <c r="E13" s="9">
        <v>2210</v>
      </c>
      <c r="F13" s="9" t="s">
        <v>34</v>
      </c>
      <c r="G13" s="9">
        <v>2210</v>
      </c>
    </row>
    <row r="14" spans="1:7" x14ac:dyDescent="0.3">
      <c r="A14" s="8">
        <v>7</v>
      </c>
      <c r="B14" s="84" t="s">
        <v>14</v>
      </c>
      <c r="C14" s="88"/>
      <c r="D14" s="9">
        <v>1534</v>
      </c>
      <c r="E14" s="9" t="s">
        <v>34</v>
      </c>
      <c r="F14" s="9">
        <v>1534</v>
      </c>
      <c r="G14" s="9"/>
    </row>
    <row r="15" spans="1:7" x14ac:dyDescent="0.3">
      <c r="A15" s="8">
        <v>8</v>
      </c>
      <c r="B15" s="14" t="s">
        <v>19</v>
      </c>
      <c r="C15" s="87"/>
      <c r="D15" s="9">
        <v>510</v>
      </c>
      <c r="E15" s="9" t="s">
        <v>34</v>
      </c>
      <c r="F15" s="9">
        <v>510</v>
      </c>
      <c r="G15" s="9"/>
    </row>
    <row r="16" spans="1:7" x14ac:dyDescent="0.3">
      <c r="A16" s="8">
        <v>9</v>
      </c>
      <c r="B16" s="14" t="s">
        <v>50</v>
      </c>
      <c r="C16" s="87"/>
      <c r="D16" s="9" t="s">
        <v>34</v>
      </c>
      <c r="E16" s="9">
        <v>510</v>
      </c>
      <c r="F16" s="9" t="s">
        <v>34</v>
      </c>
      <c r="G16" s="9">
        <v>510</v>
      </c>
    </row>
    <row r="17" spans="1:7" x14ac:dyDescent="0.3">
      <c r="A17" s="8">
        <v>10</v>
      </c>
      <c r="B17" s="14" t="s">
        <v>48</v>
      </c>
      <c r="C17" s="87"/>
      <c r="D17" s="9" t="s">
        <v>34</v>
      </c>
      <c r="E17" s="9">
        <v>40000</v>
      </c>
      <c r="F17" s="9">
        <v>0</v>
      </c>
      <c r="G17" s="9">
        <f>+E17</f>
        <v>40000</v>
      </c>
    </row>
    <row r="18" spans="1:7" x14ac:dyDescent="0.3">
      <c r="A18" s="8">
        <v>11</v>
      </c>
      <c r="B18" s="84" t="s">
        <v>85</v>
      </c>
      <c r="C18" s="88"/>
      <c r="D18" s="9">
        <v>2000</v>
      </c>
      <c r="E18" s="9">
        <v>0</v>
      </c>
      <c r="F18" s="9">
        <v>2000</v>
      </c>
      <c r="G18" s="9">
        <v>0</v>
      </c>
    </row>
    <row r="19" spans="1:7" x14ac:dyDescent="0.3">
      <c r="A19" s="8">
        <v>12</v>
      </c>
      <c r="B19" s="14" t="s">
        <v>325</v>
      </c>
      <c r="C19" s="87"/>
      <c r="D19" s="9">
        <v>1044</v>
      </c>
      <c r="E19" s="9" t="s">
        <v>34</v>
      </c>
      <c r="F19" s="9">
        <v>1044</v>
      </c>
      <c r="G19" s="9" t="str">
        <f>+E19</f>
        <v xml:space="preserve"> </v>
      </c>
    </row>
    <row r="20" spans="1:7" x14ac:dyDescent="0.3">
      <c r="A20" s="8">
        <v>13</v>
      </c>
      <c r="B20" s="85" t="s">
        <v>329</v>
      </c>
      <c r="C20" s="89"/>
      <c r="D20" s="9">
        <v>0</v>
      </c>
      <c r="E20" s="9">
        <v>9000</v>
      </c>
      <c r="F20" s="9">
        <v>0</v>
      </c>
      <c r="G20" s="9">
        <v>9000</v>
      </c>
    </row>
    <row r="21" spans="1:7" x14ac:dyDescent="0.3">
      <c r="A21" s="8">
        <v>14</v>
      </c>
      <c r="B21" s="85" t="s">
        <v>330</v>
      </c>
      <c r="C21" s="89"/>
      <c r="D21" s="9">
        <v>87</v>
      </c>
      <c r="E21" s="9" t="s">
        <v>34</v>
      </c>
      <c r="F21" s="9">
        <v>87</v>
      </c>
      <c r="G21" s="9">
        <v>0</v>
      </c>
    </row>
    <row r="22" spans="1:7" hidden="1" x14ac:dyDescent="0.3">
      <c r="A22" s="8">
        <v>15</v>
      </c>
      <c r="B22" s="86" t="s">
        <v>34</v>
      </c>
      <c r="C22" s="8"/>
      <c r="D22" s="9">
        <v>0</v>
      </c>
      <c r="E22" s="9">
        <v>0</v>
      </c>
      <c r="F22" s="9">
        <v>0</v>
      </c>
      <c r="G22" s="9"/>
    </row>
    <row r="23" spans="1:7" hidden="1" x14ac:dyDescent="0.3">
      <c r="A23" s="8">
        <v>16</v>
      </c>
      <c r="B23" s="9" t="s">
        <v>34</v>
      </c>
      <c r="C23" s="8"/>
      <c r="D23" s="9">
        <v>0</v>
      </c>
      <c r="E23" s="9">
        <v>0</v>
      </c>
      <c r="F23" s="9">
        <v>0</v>
      </c>
      <c r="G23" s="9">
        <f>+E23</f>
        <v>0</v>
      </c>
    </row>
    <row r="24" spans="1:7" hidden="1" x14ac:dyDescent="0.3">
      <c r="A24" s="8">
        <v>17</v>
      </c>
      <c r="B24" s="9" t="s">
        <v>34</v>
      </c>
      <c r="C24" s="8"/>
      <c r="D24" s="9">
        <v>0</v>
      </c>
      <c r="E24" s="9">
        <v>0</v>
      </c>
      <c r="F24" s="9">
        <v>0</v>
      </c>
      <c r="G24" s="9"/>
    </row>
    <row r="25" spans="1:7" hidden="1" x14ac:dyDescent="0.3">
      <c r="A25" s="8">
        <v>18</v>
      </c>
      <c r="B25" s="9" t="s">
        <v>34</v>
      </c>
      <c r="C25" s="8"/>
      <c r="D25" s="9">
        <v>0</v>
      </c>
      <c r="E25" s="9">
        <v>0</v>
      </c>
      <c r="F25" s="9">
        <v>0</v>
      </c>
      <c r="G25" s="9"/>
    </row>
    <row r="26" spans="1:7" hidden="1" x14ac:dyDescent="0.3">
      <c r="A26" s="8">
        <v>19</v>
      </c>
      <c r="B26" s="9" t="s">
        <v>34</v>
      </c>
      <c r="C26" s="8"/>
      <c r="D26" s="9">
        <v>0</v>
      </c>
      <c r="E26" s="9">
        <v>0</v>
      </c>
      <c r="F26" s="9">
        <v>0</v>
      </c>
      <c r="G26" s="9"/>
    </row>
    <row r="27" spans="1:7" hidden="1" x14ac:dyDescent="0.3">
      <c r="A27" s="8">
        <v>20</v>
      </c>
      <c r="B27" s="9" t="s">
        <v>34</v>
      </c>
      <c r="C27" s="8"/>
      <c r="D27" s="9">
        <v>0</v>
      </c>
      <c r="E27" s="9">
        <v>0</v>
      </c>
      <c r="F27" s="9">
        <v>0</v>
      </c>
      <c r="G27" s="9"/>
    </row>
    <row r="28" spans="1:7" hidden="1" x14ac:dyDescent="0.3">
      <c r="A28" s="8">
        <v>21</v>
      </c>
      <c r="B28" s="9" t="s">
        <v>34</v>
      </c>
      <c r="C28" s="8"/>
      <c r="D28" s="9">
        <v>0</v>
      </c>
      <c r="E28" s="9">
        <v>0</v>
      </c>
      <c r="F28" s="9">
        <v>0</v>
      </c>
      <c r="G28" s="9"/>
    </row>
    <row r="29" spans="1:7" hidden="1" x14ac:dyDescent="0.3">
      <c r="A29" s="8">
        <v>22</v>
      </c>
      <c r="B29" s="9" t="s">
        <v>34</v>
      </c>
      <c r="C29" s="8"/>
      <c r="D29" s="9"/>
      <c r="E29" s="9">
        <v>0</v>
      </c>
      <c r="F29" s="9"/>
      <c r="G29" s="9">
        <f>+E29</f>
        <v>0</v>
      </c>
    </row>
    <row r="30" spans="1:7" hidden="1" x14ac:dyDescent="0.3">
      <c r="A30" s="8">
        <v>23</v>
      </c>
      <c r="B30" s="9" t="s">
        <v>34</v>
      </c>
      <c r="C30" s="8"/>
      <c r="D30" s="9"/>
      <c r="E30" s="9">
        <v>0</v>
      </c>
      <c r="F30" s="9"/>
      <c r="G30" s="9">
        <f>+E30</f>
        <v>0</v>
      </c>
    </row>
    <row r="31" spans="1:7" hidden="1" x14ac:dyDescent="0.3">
      <c r="A31" s="8">
        <v>24</v>
      </c>
      <c r="B31" s="9" t="s">
        <v>34</v>
      </c>
      <c r="C31" s="8"/>
      <c r="D31" s="9"/>
      <c r="E31" s="9">
        <v>0</v>
      </c>
      <c r="F31" s="9"/>
      <c r="G31" s="9">
        <f>+E31</f>
        <v>0</v>
      </c>
    </row>
    <row r="32" spans="1:7" hidden="1" x14ac:dyDescent="0.3">
      <c r="A32" s="8">
        <v>25</v>
      </c>
      <c r="B32" s="9" t="s">
        <v>34</v>
      </c>
      <c r="C32" s="8"/>
      <c r="D32" s="9"/>
      <c r="E32" s="9">
        <v>0</v>
      </c>
      <c r="F32" s="9"/>
      <c r="G32" s="9">
        <f t="shared" ref="G32:G34" si="0">+E32</f>
        <v>0</v>
      </c>
    </row>
    <row r="33" spans="1:7" hidden="1" x14ac:dyDescent="0.3">
      <c r="A33" s="8">
        <v>26</v>
      </c>
      <c r="B33" s="9" t="s">
        <v>34</v>
      </c>
      <c r="C33" s="8"/>
      <c r="D33" s="9"/>
      <c r="E33" s="9">
        <v>0</v>
      </c>
      <c r="F33" s="9"/>
      <c r="G33" s="9">
        <f t="shared" si="0"/>
        <v>0</v>
      </c>
    </row>
    <row r="34" spans="1:7" hidden="1" x14ac:dyDescent="0.3">
      <c r="A34" s="8">
        <v>27</v>
      </c>
      <c r="B34" s="9" t="s">
        <v>34</v>
      </c>
      <c r="C34" s="8"/>
      <c r="D34" s="9"/>
      <c r="E34" s="9">
        <v>0</v>
      </c>
      <c r="F34" s="9"/>
      <c r="G34" s="9">
        <f t="shared" si="0"/>
        <v>0</v>
      </c>
    </row>
    <row r="35" spans="1:7" x14ac:dyDescent="0.3">
      <c r="A35" s="8">
        <v>28</v>
      </c>
      <c r="B35" s="9" t="s">
        <v>34</v>
      </c>
      <c r="C35" s="8"/>
      <c r="D35" s="9">
        <v>0</v>
      </c>
      <c r="E35" s="9">
        <v>0</v>
      </c>
      <c r="F35" s="9">
        <f>+D35-E35</f>
        <v>0</v>
      </c>
      <c r="G35" s="9"/>
    </row>
    <row r="36" spans="1:7" s="2" customFormat="1" x14ac:dyDescent="0.3">
      <c r="A36" s="30"/>
      <c r="B36" s="30" t="s">
        <v>62</v>
      </c>
      <c r="C36" s="30"/>
      <c r="D36" s="31">
        <f>SUM(D4:D35)</f>
        <v>77310</v>
      </c>
      <c r="E36" s="31">
        <f>SUM(E4:E35)</f>
        <v>77310</v>
      </c>
      <c r="F36" s="31">
        <f t="shared" ref="F36:G36" si="1">SUM(F4:F35)</f>
        <v>66510</v>
      </c>
      <c r="G36" s="31">
        <f t="shared" si="1"/>
        <v>66510</v>
      </c>
    </row>
  </sheetData>
  <mergeCells count="8">
    <mergeCell ref="A2:G2"/>
    <mergeCell ref="A3:G3"/>
    <mergeCell ref="A4:G4"/>
    <mergeCell ref="A6:A7"/>
    <mergeCell ref="B6:B7"/>
    <mergeCell ref="C6:C7"/>
    <mergeCell ref="D6:E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plan de cuentas</vt:lpstr>
      <vt:lpstr>BALANCE APERTURA</vt:lpstr>
      <vt:lpstr>LIBRO DIARIO</vt:lpstr>
      <vt:lpstr>LIBRO MAYORES</vt:lpstr>
      <vt:lpstr>BC SUMAS Y SALDOS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59168</cp:lastModifiedBy>
  <dcterms:created xsi:type="dcterms:W3CDTF">2015-06-05T18:19:34Z</dcterms:created>
  <dcterms:modified xsi:type="dcterms:W3CDTF">2023-12-11T17:50:08Z</dcterms:modified>
</cp:coreProperties>
</file>