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"/>
    </mc:Choice>
  </mc:AlternateContent>
  <xr:revisionPtr revIDLastSave="0" documentId="13_ncr:1_{B5B977E7-FEC2-4E3C-B995-CBB9DEF34C1E}" xr6:coauthVersionLast="43" xr6:coauthVersionMax="47" xr10:uidLastSave="{00000000-0000-0000-0000-000000000000}"/>
  <bookViews>
    <workbookView xWindow="12300" yWindow="36" windowWidth="10692" windowHeight="11508" tabRatio="737" activeTab="4" xr2:uid="{00000000-000D-0000-FFFF-FFFF00000000}"/>
  </bookViews>
  <sheets>
    <sheet name="plan" sheetId="15" r:id="rId1"/>
    <sheet name="Blce. Apertura" sheetId="7" r:id="rId2"/>
    <sheet name="Libro Diario 1" sheetId="6" r:id="rId3"/>
    <sheet name="Lista de Libros" sheetId="16" state="hidden" r:id="rId4"/>
    <sheet name="Mayores" sheetId="11" r:id="rId5"/>
    <sheet name="Blce. Apertura (2)" sheetId="19" r:id="rId6"/>
    <sheet name="HOJA DE TRABAJO" sheetId="13" r:id="rId7"/>
    <sheet name="ER" sheetId="17" r:id="rId8"/>
    <sheet name="BG" sheetId="18" r:id="rId9"/>
  </sheets>
  <externalReferences>
    <externalReference r:id="rId10"/>
  </externalReferences>
  <definedNames>
    <definedName name="_xlnm._FilterDatabase" localSheetId="6" hidden="1">'HOJA DE TRABAJO'!$A$6:$K$26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13" i="19" l="1"/>
  <c r="D17" i="19" s="1"/>
  <c r="D26" i="19" s="1"/>
  <c r="D20" i="19"/>
  <c r="D7" i="19"/>
  <c r="D23" i="19"/>
  <c r="D28" i="19" l="1"/>
  <c r="A5" i="11" l="1" a="1"/>
  <c r="A5" i="11" s="1"/>
  <c r="J22" i="11" a="1"/>
  <c r="J22" i="11" s="1"/>
  <c r="J27" i="11" s="1"/>
  <c r="A22" i="11" a="1"/>
  <c r="A22" i="11" s="1"/>
  <c r="E22" i="11" a="1"/>
  <c r="E22" i="11" s="1"/>
  <c r="E25" i="11" s="1"/>
  <c r="D22" i="11" s="1" a="1"/>
  <c r="D22" i="11" s="1"/>
  <c r="D25" i="11" s="1"/>
  <c r="K12" i="11" a="1"/>
  <c r="K12" i="11" s="1"/>
  <c r="K19" i="11" s="1"/>
  <c r="E16" i="13" s="1"/>
  <c r="D19" i="13" l="1"/>
  <c r="E26" i="11"/>
  <c r="D59" i="6"/>
  <c r="K22" i="11" s="1" a="1"/>
  <c r="K22" i="11" s="1"/>
  <c r="K27" i="11" s="1"/>
  <c r="D21" i="13"/>
  <c r="E19" i="13"/>
  <c r="E21" i="13" l="1"/>
  <c r="K28" i="11"/>
  <c r="B20" i="17"/>
  <c r="B19" i="17"/>
  <c r="H9" i="13"/>
  <c r="I9" i="13"/>
  <c r="K9" i="13"/>
  <c r="H10" i="13"/>
  <c r="I10" i="13"/>
  <c r="K10" i="13"/>
  <c r="H11" i="13"/>
  <c r="I11" i="13"/>
  <c r="K11" i="13"/>
  <c r="H12" i="13"/>
  <c r="I12" i="13"/>
  <c r="K12" i="13"/>
  <c r="H13" i="13"/>
  <c r="I13" i="13"/>
  <c r="J13" i="13"/>
  <c r="H14" i="13"/>
  <c r="I14" i="13"/>
  <c r="J14" i="13"/>
  <c r="H15" i="13"/>
  <c r="I15" i="13"/>
  <c r="J15" i="13"/>
  <c r="H16" i="13"/>
  <c r="I16" i="13"/>
  <c r="K16" i="13"/>
  <c r="I17" i="13"/>
  <c r="J17" i="13"/>
  <c r="K17" i="13"/>
  <c r="H18" i="13"/>
  <c r="J18" i="13"/>
  <c r="K18" i="13"/>
  <c r="H19" i="13"/>
  <c r="I19" i="13"/>
  <c r="J19" i="13"/>
  <c r="H20" i="13"/>
  <c r="I20" i="13"/>
  <c r="J20" i="13"/>
  <c r="H21" i="13"/>
  <c r="I21" i="13"/>
  <c r="H22" i="13"/>
  <c r="I22" i="13"/>
  <c r="K22" i="13"/>
  <c r="I23" i="13"/>
  <c r="J23" i="13"/>
  <c r="K23" i="13"/>
  <c r="I24" i="13"/>
  <c r="J24" i="13"/>
  <c r="K24" i="13"/>
  <c r="K8" i="13"/>
  <c r="I8" i="13"/>
  <c r="H8" i="13"/>
  <c r="B32" i="11" l="1" a="1"/>
  <c r="B32" i="11" s="1"/>
  <c r="B33" i="11" s="1"/>
  <c r="E32" i="11" a="1"/>
  <c r="E32" i="11" s="1"/>
  <c r="E33" i="11" s="1"/>
  <c r="A32" i="11" a="1"/>
  <c r="A32" i="11" s="1"/>
  <c r="A33" i="11" s="1"/>
  <c r="D23" i="13" s="1"/>
  <c r="F23" i="13" s="1"/>
  <c r="H23" i="13" s="1"/>
  <c r="N22" i="11" a="1"/>
  <c r="N22" i="11" s="1"/>
  <c r="N23" i="11" s="1"/>
  <c r="G22" i="11" a="1"/>
  <c r="G22" i="11" s="1"/>
  <c r="G24" i="11" s="1"/>
  <c r="A24" i="11"/>
  <c r="N12" i="11" a="1"/>
  <c r="N12" i="11" s="1"/>
  <c r="N14" i="11" s="1"/>
  <c r="G12" i="11" a="1"/>
  <c r="G12" i="11" s="1"/>
  <c r="G13" i="11" s="1"/>
  <c r="E12" i="11" a="1"/>
  <c r="E12" i="11" s="1"/>
  <c r="E15" i="11" s="1"/>
  <c r="E14" i="13" s="1"/>
  <c r="D12" i="11" a="1"/>
  <c r="D12" i="11" s="1"/>
  <c r="D15" i="11" s="1"/>
  <c r="B12" i="11" a="1"/>
  <c r="B12" i="11" s="1"/>
  <c r="B13" i="11" s="1"/>
  <c r="E13" i="13" s="1"/>
  <c r="F13" i="13" s="1"/>
  <c r="A12" i="11" a="1"/>
  <c r="A12" i="11" s="1"/>
  <c r="A13" i="11" s="1"/>
  <c r="N5" i="11" a="1"/>
  <c r="N5" i="11" s="1"/>
  <c r="N6" i="11" s="1"/>
  <c r="M5" i="11" a="1"/>
  <c r="M5" i="11" s="1"/>
  <c r="M6" i="11" s="1"/>
  <c r="D12" i="13" s="1"/>
  <c r="F12" i="13" s="1"/>
  <c r="K5" i="11" a="1"/>
  <c r="K5" i="11" s="1"/>
  <c r="K6" i="11" s="1"/>
  <c r="J5" i="11" a="1"/>
  <c r="J5" i="11" s="1"/>
  <c r="J6" i="11" s="1"/>
  <c r="D11" i="13" s="1"/>
  <c r="F11" i="13" s="1"/>
  <c r="J11" i="13" s="1"/>
  <c r="C12" i="18" s="1"/>
  <c r="H5" i="11" a="1"/>
  <c r="H5" i="11" s="1"/>
  <c r="H7" i="11" s="1"/>
  <c r="E5" i="11" a="1"/>
  <c r="E5" i="11" s="1"/>
  <c r="E7" i="11" s="1"/>
  <c r="B30" i="18"/>
  <c r="B18" i="17"/>
  <c r="D14" i="13" l="1"/>
  <c r="G14" i="13" s="1"/>
  <c r="E16" i="11"/>
  <c r="C14" i="18"/>
  <c r="J12" i="13"/>
  <c r="G12" i="13"/>
  <c r="G23" i="13"/>
  <c r="G13" i="13"/>
  <c r="G11" i="13"/>
  <c r="F14" i="13" l="1"/>
  <c r="C24" i="18"/>
  <c r="K13" i="13"/>
  <c r="C25" i="18"/>
  <c r="K14" i="13"/>
  <c r="B5" i="11" a="1"/>
  <c r="B5" i="11" s="1"/>
  <c r="B8" i="11" s="1"/>
  <c r="E8" i="13" s="1"/>
  <c r="D31" i="11"/>
  <c r="A31" i="11"/>
  <c r="M21" i="11"/>
  <c r="J21" i="11"/>
  <c r="G21" i="11"/>
  <c r="D21" i="11"/>
  <c r="A21" i="11"/>
  <c r="M11" i="11"/>
  <c r="J11" i="11"/>
  <c r="G11" i="11"/>
  <c r="D11" i="11"/>
  <c r="A11" i="11"/>
  <c r="M4" i="11"/>
  <c r="U4" i="11"/>
  <c r="D4" i="11"/>
  <c r="G4" i="11"/>
  <c r="A4" i="11"/>
  <c r="A1" i="16"/>
  <c r="B2" i="16"/>
  <c r="C2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B10" i="16"/>
  <c r="C10" i="16"/>
  <c r="B11" i="16"/>
  <c r="C11" i="16"/>
  <c r="B12" i="16"/>
  <c r="C12" i="16"/>
  <c r="C13" i="16"/>
  <c r="B14" i="16"/>
  <c r="B15" i="16"/>
  <c r="B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C23" i="16"/>
  <c r="C24" i="16"/>
  <c r="B25" i="16"/>
  <c r="C25" i="16"/>
  <c r="B26" i="16"/>
  <c r="C26" i="16"/>
  <c r="B27" i="16"/>
  <c r="C27" i="16"/>
  <c r="C28" i="16"/>
  <c r="C29" i="16"/>
  <c r="C30" i="16"/>
  <c r="B31" i="16"/>
  <c r="B32" i="16"/>
  <c r="B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C50" i="16"/>
  <c r="C51" i="16"/>
  <c r="B52" i="16"/>
  <c r="C52" i="16"/>
  <c r="B53" i="16"/>
  <c r="C53" i="16"/>
  <c r="B1" i="16"/>
  <c r="C1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G5" i="16" s="1"/>
  <c r="A3" i="16"/>
  <c r="A2" i="16"/>
  <c r="D65" i="11"/>
  <c r="D66" i="11"/>
  <c r="D67" i="11"/>
  <c r="D68" i="11"/>
  <c r="D69" i="11"/>
  <c r="D70" i="11"/>
  <c r="D71" i="11"/>
  <c r="D72" i="11"/>
  <c r="C54" i="16"/>
  <c r="B54" i="16"/>
  <c r="C54" i="6"/>
  <c r="B51" i="16" s="1"/>
  <c r="C53" i="6"/>
  <c r="D32" i="11" s="1" a="1"/>
  <c r="D32" i="11" s="1"/>
  <c r="D33" i="11" s="1"/>
  <c r="D24" i="13" s="1"/>
  <c r="C45" i="6"/>
  <c r="C44" i="6"/>
  <c r="G5" i="11" s="1" a="1"/>
  <c r="G5" i="11" s="1"/>
  <c r="G7" i="11" s="1"/>
  <c r="D10" i="13" s="1"/>
  <c r="D35" i="6"/>
  <c r="C32" i="16" s="1"/>
  <c r="D34" i="6"/>
  <c r="C31" i="16" s="1"/>
  <c r="C33" i="6"/>
  <c r="D36" i="6" s="1"/>
  <c r="C33" i="16" s="1"/>
  <c r="C32" i="6"/>
  <c r="M22" i="11" s="1" a="1"/>
  <c r="M22" i="11" s="1"/>
  <c r="M23" i="11" s="1"/>
  <c r="D22" i="13" s="1"/>
  <c r="C31" i="6"/>
  <c r="J12" i="11" s="1" a="1"/>
  <c r="J12" i="11" s="1"/>
  <c r="J19" i="11" s="1"/>
  <c r="C27" i="6"/>
  <c r="C26" i="6"/>
  <c r="D5" i="11" s="1" a="1"/>
  <c r="D5" i="11" s="1"/>
  <c r="D7" i="11" s="1"/>
  <c r="D9" i="13" s="1"/>
  <c r="D18" i="6"/>
  <c r="D17" i="6"/>
  <c r="B22" i="11" s="1" a="1"/>
  <c r="B22" i="11" s="1"/>
  <c r="B24" i="11" s="1"/>
  <c r="E18" i="13" s="1"/>
  <c r="C16" i="6"/>
  <c r="M12" i="11" s="1" a="1"/>
  <c r="M12" i="11" s="1"/>
  <c r="M14" i="11" s="1"/>
  <c r="D17" i="13" s="1"/>
  <c r="D12" i="6"/>
  <c r="H12" i="11" s="1" a="1"/>
  <c r="H12" i="11" s="1"/>
  <c r="H13" i="11" s="1"/>
  <c r="E15" i="13" s="1"/>
  <c r="D26" i="7"/>
  <c r="D16" i="7"/>
  <c r="D13" i="7"/>
  <c r="D19" i="7"/>
  <c r="D7" i="7"/>
  <c r="D16" i="13" l="1"/>
  <c r="F16" i="13" s="1"/>
  <c r="K20" i="11"/>
  <c r="G6" i="16"/>
  <c r="G17" i="16"/>
  <c r="G7" i="16"/>
  <c r="G11" i="16"/>
  <c r="G15" i="16"/>
  <c r="G16" i="16"/>
  <c r="B24" i="16"/>
  <c r="B30" i="16"/>
  <c r="D19" i="6"/>
  <c r="H22" i="11" s="1" a="1"/>
  <c r="H22" i="11" s="1"/>
  <c r="H24" i="11" s="1"/>
  <c r="B50" i="16"/>
  <c r="B28" i="16"/>
  <c r="F10" i="16" s="1"/>
  <c r="F12" i="16"/>
  <c r="F7" i="16"/>
  <c r="G8" i="16"/>
  <c r="G4" i="16"/>
  <c r="F15" i="13"/>
  <c r="G15" i="13"/>
  <c r="C15" i="16"/>
  <c r="G13" i="16" s="1"/>
  <c r="C9" i="16"/>
  <c r="G9" i="16" s="1"/>
  <c r="F15" i="16"/>
  <c r="F6" i="16"/>
  <c r="F2" i="16"/>
  <c r="G3" i="16"/>
  <c r="A8" i="11"/>
  <c r="F24" i="13"/>
  <c r="H24" i="13" s="1"/>
  <c r="C20" i="17"/>
  <c r="G24" i="13"/>
  <c r="F22" i="13"/>
  <c r="G22" i="13"/>
  <c r="F17" i="13"/>
  <c r="H17" i="13" s="1"/>
  <c r="H25" i="13" s="1"/>
  <c r="C18" i="17"/>
  <c r="G17" i="13"/>
  <c r="F9" i="13"/>
  <c r="G9" i="13"/>
  <c r="F10" i="13"/>
  <c r="G10" i="13"/>
  <c r="B41" i="16"/>
  <c r="F4" i="16" s="1"/>
  <c r="B29" i="16"/>
  <c r="F16" i="16" s="1"/>
  <c r="B23" i="16"/>
  <c r="F3" i="16" s="1"/>
  <c r="F8" i="16"/>
  <c r="B13" i="16"/>
  <c r="F11" i="16" s="1"/>
  <c r="F18" i="16"/>
  <c r="F14" i="16"/>
  <c r="F5" i="16"/>
  <c r="G18" i="16"/>
  <c r="G10" i="16"/>
  <c r="E25" i="13"/>
  <c r="F18" i="13"/>
  <c r="C8" i="17"/>
  <c r="D7" i="17" s="1"/>
  <c r="D15" i="17" s="1"/>
  <c r="G18" i="13"/>
  <c r="I18" i="13" s="1"/>
  <c r="I25" i="13" s="1"/>
  <c r="G2" i="16"/>
  <c r="C16" i="16"/>
  <c r="G14" i="16" s="1"/>
  <c r="C14" i="16"/>
  <c r="G12" i="16" s="1"/>
  <c r="F17" i="16"/>
  <c r="F13" i="16"/>
  <c r="F9" i="16"/>
  <c r="G16" i="13" l="1"/>
  <c r="D8" i="13"/>
  <c r="G8" i="13" s="1"/>
  <c r="B9" i="11"/>
  <c r="E20" i="13"/>
  <c r="G20" i="13" s="1"/>
  <c r="C23" i="18" s="1"/>
  <c r="F21" i="13"/>
  <c r="J21" i="13" s="1"/>
  <c r="C11" i="18"/>
  <c r="J9" i="13"/>
  <c r="C13" i="18"/>
  <c r="J22" i="13"/>
  <c r="C30" i="18"/>
  <c r="K15" i="13"/>
  <c r="C9" i="18"/>
  <c r="J16" i="13"/>
  <c r="F19" i="13"/>
  <c r="G19" i="13"/>
  <c r="K19" i="13" s="1"/>
  <c r="C26" i="18" s="1"/>
  <c r="G21" i="13"/>
  <c r="C17" i="18"/>
  <c r="D16" i="18" s="1"/>
  <c r="J10" i="13"/>
  <c r="D17" i="17"/>
  <c r="D22" i="17" s="1"/>
  <c r="D25" i="17" s="1"/>
  <c r="C31" i="18" s="1"/>
  <c r="D28" i="7"/>
  <c r="H27" i="13"/>
  <c r="K20" i="13" l="1"/>
  <c r="F8" i="13"/>
  <c r="C10" i="18" s="1"/>
  <c r="D25" i="13"/>
  <c r="F20" i="13"/>
  <c r="G25" i="13"/>
  <c r="D29" i="18"/>
  <c r="D8" i="18"/>
  <c r="D19" i="18" s="1"/>
  <c r="K21" i="13"/>
  <c r="K25" i="13" s="1"/>
  <c r="D22" i="18"/>
  <c r="I26" i="13"/>
  <c r="I27" i="13" s="1"/>
  <c r="F25" i="13" l="1"/>
  <c r="J8" i="13"/>
  <c r="J25" i="13" s="1"/>
  <c r="J26" i="13" s="1"/>
  <c r="J27" i="13" s="1"/>
  <c r="D34" i="18"/>
  <c r="K27" i="13"/>
  <c r="K26" i="11"/>
  <c r="K25" i="11"/>
  <c r="K24" i="11"/>
  <c r="K23" i="11"/>
  <c r="J26" i="11"/>
  <c r="J25" i="11"/>
  <c r="J24" i="11"/>
  <c r="J23" i="11"/>
  <c r="H23" i="11"/>
  <c r="G23" i="11"/>
  <c r="E24" i="11"/>
  <c r="E23" i="11"/>
  <c r="D24" i="11"/>
  <c r="D23" i="11"/>
  <c r="B23" i="11"/>
  <c r="A23" i="11"/>
  <c r="N13" i="11"/>
  <c r="M13" i="11"/>
  <c r="K17" i="11"/>
  <c r="K16" i="11"/>
  <c r="K15" i="11"/>
  <c r="K14" i="11"/>
  <c r="K13" i="11"/>
  <c r="J17" i="11"/>
  <c r="J16" i="11"/>
  <c r="J15" i="11"/>
  <c r="J14" i="11"/>
  <c r="J13" i="11"/>
  <c r="E14" i="11"/>
  <c r="E13" i="11"/>
  <c r="D14" i="11"/>
  <c r="D13" i="11"/>
  <c r="H6" i="11"/>
  <c r="G6" i="11"/>
  <c r="E6" i="11"/>
  <c r="D6" i="11"/>
  <c r="B7" i="11"/>
  <c r="B6" i="11"/>
  <c r="A7" i="11"/>
  <c r="A6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<sst xmlns="http://schemas.openxmlformats.org/spreadsheetml/2006/main" count="1036" uniqueCount="639">
  <si>
    <t>ACTIVO</t>
  </si>
  <si>
    <t>PASIVO</t>
  </si>
  <si>
    <t>PASIVO CORRIENTE</t>
  </si>
  <si>
    <t>CAPITAL SOCIAL</t>
  </si>
  <si>
    <t>INGRESOS</t>
  </si>
  <si>
    <t>MUEBLES Y ENSERES</t>
  </si>
  <si>
    <t>PASIVO NO CORRIENTE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</si>
  <si>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</si>
  <si>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</si>
  <si>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</si>
  <si>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</si>
  <si>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</si>
  <si>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</si>
  <si>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</si>
  <si>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</si>
  <si>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</si>
  <si>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</si>
  <si>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</si>
  <si>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BALANCE DE APERTURA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</si>
  <si>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</si>
  <si>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</si>
  <si>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</si>
  <si>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</si>
  <si>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</si>
  <si>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</si>
  <si>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</si>
  <si>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</si>
  <si>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</si>
  <si>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</si>
  <si>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</si>
  <si>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</si>
  <si>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</si>
  <si>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</si>
  <si>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</si>
  <si>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A</t>
  </si>
  <si>
    <t>E</t>
  </si>
  <si>
    <t>PAT</t>
  </si>
  <si>
    <t>P</t>
  </si>
  <si>
    <t>I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</si>
  <si>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</si>
  <si>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</si>
  <si>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</si>
  <si>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</si>
  <si>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</si>
  <si>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</si>
  <si>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</si>
  <si>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</si>
  <si>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Inventario de Mercaderia</t>
  </si>
  <si>
    <t>Documentos por Pagar</t>
  </si>
  <si>
    <t>Cuentas por Pagar</t>
  </si>
  <si>
    <t>Capital Social</t>
  </si>
  <si>
    <t>DOCUMENTOS POR PAGAR</t>
  </si>
  <si>
    <t>IMPUESTO A LAS TRANSACCIONES</t>
  </si>
  <si>
    <t>DOCUMENTOS POR COBRAR</t>
  </si>
  <si>
    <t>|</t>
  </si>
  <si>
    <t>Banco Ganadero M/N</t>
  </si>
  <si>
    <t>Deudas por cobrar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</si>
  <si>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</si>
  <si>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</si>
  <si>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</si>
  <si>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</si>
  <si>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</si>
  <si>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</si>
  <si>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</si>
  <si>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</si>
  <si>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</si>
  <si>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</si>
  <si>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</si>
  <si>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</si>
  <si>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</si>
  <si>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</si>
  <si>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</si>
  <si>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</si>
  <si>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</si>
  <si>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</si>
  <si>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</si>
  <si>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</si>
  <si>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</si>
  <si>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</si>
  <si>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</si>
  <si>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</si>
  <si>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</si>
  <si>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</si>
  <si>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</si>
  <si>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</si>
  <si>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</si>
  <si>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</si>
  <si>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</si>
  <si>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</si>
  <si>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</si>
  <si>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</si>
  <si>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</si>
  <si>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</si>
  <si>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</si>
  <si>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</si>
  <si>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</si>
  <si>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</si>
  <si>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</si>
  <si>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</si>
  <si>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</si>
  <si>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</si>
  <si>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</si>
  <si>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</si>
  <si>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</si>
  <si>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</si>
  <si>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</si>
  <si>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</si>
  <si>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</si>
  <si>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</si>
  <si>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</si>
  <si>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</si>
  <si>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</si>
  <si>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</si>
  <si>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</si>
  <si>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</si>
  <si>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</si>
  <si>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</si>
  <si>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</si>
  <si>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</si>
  <si>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</si>
  <si>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</si>
  <si>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</si>
  <si>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</si>
  <si>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</si>
  <si>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</si>
  <si>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</si>
  <si>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</si>
  <si>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</si>
  <si>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</si>
  <si>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</si>
  <si>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</si>
  <si>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</si>
  <si>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</si>
  <si>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</si>
  <si>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</si>
  <si>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</si>
  <si>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</si>
  <si>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</si>
  <si>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</si>
  <si>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</si>
  <si>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</si>
  <si>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</si>
  <si>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</si>
  <si>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</si>
  <si>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</si>
  <si>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</si>
  <si>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</si>
  <si>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</si>
  <si>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</si>
  <si>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</si>
  <si>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</si>
  <si>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</si>
  <si>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</si>
  <si>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</si>
  <si>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</si>
  <si>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</si>
  <si>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</si>
  <si>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</si>
  <si>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</si>
  <si>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</si>
  <si>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</si>
  <si>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</si>
  <si>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</si>
  <si>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</si>
  <si>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</si>
  <si>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</si>
  <si>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</si>
  <si>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</si>
  <si>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</si>
  <si>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</si>
  <si>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</si>
  <si>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</si>
  <si>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</si>
  <si>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</si>
  <si>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</si>
  <si>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</si>
  <si>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</si>
  <si>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</si>
  <si>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</si>
  <si>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</si>
  <si>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</si>
  <si>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</si>
  <si>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</si>
  <si>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</si>
  <si>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</si>
  <si>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</si>
  <si>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</si>
  <si>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</si>
  <si>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</si>
  <si>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</si>
  <si>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</si>
  <si>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</si>
  <si>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</si>
  <si>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</si>
  <si>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</si>
  <si>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</si>
  <si>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</si>
  <si>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</si>
  <si>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</si>
  <si>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</si>
  <si>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</si>
  <si>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</si>
  <si>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</si>
  <si>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</si>
  <si>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</si>
  <si>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</si>
  <si>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</si>
  <si>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</si>
  <si>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</si>
  <si>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</si>
  <si>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</si>
  <si>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</si>
  <si>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</si>
  <si>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</si>
  <si>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</si>
  <si>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</si>
  <si>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</si>
  <si>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</si>
  <si>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</si>
  <si>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</si>
  <si>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</si>
  <si>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</si>
  <si>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</si>
  <si>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</si>
  <si>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</si>
  <si>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</si>
  <si>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</si>
  <si>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</si>
  <si>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</si>
  <si>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</si>
  <si>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</si>
  <si>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</si>
  <si>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</si>
  <si>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</si>
  <si>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</si>
  <si>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</si>
  <si>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</si>
  <si>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</si>
  <si>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</si>
  <si>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</si>
  <si>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</si>
  <si>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</si>
  <si>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</si>
  <si>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</si>
  <si>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</si>
  <si>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</si>
  <si>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</si>
  <si>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</si>
  <si>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</si>
  <si>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</si>
  <si>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</si>
  <si>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</si>
  <si>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</si>
  <si>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</si>
  <si>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</si>
  <si>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</si>
  <si>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</si>
  <si>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</si>
  <si>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</si>
  <si>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</si>
  <si>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</si>
  <si>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</si>
  <si>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</si>
  <si>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</si>
  <si>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</si>
  <si>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</si>
  <si>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</si>
  <si>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</si>
  <si>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</si>
  <si>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</si>
  <si>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</si>
  <si>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</si>
  <si>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</si>
  <si>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</si>
  <si>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</si>
  <si>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</si>
  <si>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</si>
  <si>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</si>
  <si>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</si>
  <si>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</si>
  <si>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</si>
  <si>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</si>
  <si>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</si>
  <si>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</si>
  <si>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</si>
  <si>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</si>
  <si>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</si>
  <si>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</si>
  <si>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</si>
  <si>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</si>
  <si>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</si>
  <si>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</si>
  <si>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</si>
  <si>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</si>
  <si>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</si>
  <si>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</si>
  <si>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</si>
  <si>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</si>
  <si>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</si>
  <si>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</si>
  <si>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</si>
  <si>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</si>
  <si>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</si>
  <si>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</si>
  <si>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</si>
  <si>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</si>
  <si>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</si>
  <si>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</si>
  <si>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</si>
  <si>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</si>
  <si>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</si>
  <si>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</si>
  <si>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</si>
  <si>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</si>
  <si>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</si>
  <si>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</si>
  <si>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</si>
  <si>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</si>
  <si>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</si>
  <si>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</si>
  <si>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</si>
  <si>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</si>
  <si>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</si>
  <si>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</si>
  <si>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</si>
  <si>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</si>
  <si>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</si>
  <si>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</si>
  <si>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</si>
  <si>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</si>
  <si>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</si>
  <si>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</si>
  <si>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</si>
  <si>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</si>
  <si>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</si>
  <si>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</si>
  <si>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</si>
  <si>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</si>
  <si>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</si>
  <si>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</si>
  <si>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</si>
  <si>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</si>
  <si>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</si>
  <si>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</si>
  <si>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</si>
  <si>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</si>
  <si>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</si>
  <si>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</si>
  <si>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</si>
  <si>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</si>
  <si>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</si>
  <si>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</si>
  <si>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</si>
  <si>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</si>
  <si>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</si>
  <si>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</si>
  <si>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</si>
  <si>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</si>
  <si>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</si>
  <si>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</si>
  <si>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</si>
  <si>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</si>
  <si>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</si>
  <si>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</si>
  <si>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</si>
  <si>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</si>
  <si>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</si>
  <si>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</si>
  <si>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</si>
  <si>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</si>
  <si>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</si>
  <si>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</si>
  <si>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</si>
  <si>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</si>
  <si>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</si>
  <si>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</si>
  <si>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</si>
  <si>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</si>
  <si>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</si>
  <si>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</si>
  <si>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</si>
  <si>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</si>
  <si>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</si>
  <si>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</si>
  <si>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</si>
  <si>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</si>
  <si>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</si>
  <si>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</si>
  <si>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</si>
  <si>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</si>
  <si>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</si>
  <si>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</si>
  <si>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</si>
  <si>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</si>
  <si>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</si>
  <si>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</si>
  <si>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</si>
  <si>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</si>
  <si>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</si>
  <si>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</si>
  <si>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</si>
  <si>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</si>
  <si>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</si>
  <si>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</si>
  <si>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</si>
  <si>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</si>
  <si>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</si>
  <si>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</si>
  <si>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</si>
  <si>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</si>
  <si>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</si>
  <si>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</si>
  <si>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</si>
  <si>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</si>
  <si>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</si>
  <si>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</si>
  <si>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</si>
  <si>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</si>
  <si>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</si>
  <si>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</si>
  <si>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</si>
  <si>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</si>
  <si>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</si>
  <si>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</si>
  <si>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</si>
  <si>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</si>
  <si>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</si>
  <si>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</si>
  <si>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</si>
  <si>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</si>
  <si>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</si>
  <si>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</si>
  <si>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</si>
  <si>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</si>
  <si>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</si>
  <si>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</si>
  <si>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</si>
  <si>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</si>
  <si>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</si>
  <si>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</si>
  <si>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</si>
  <si>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</si>
  <si>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</si>
  <si>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</si>
  <si>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</si>
  <si>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</si>
  <si>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</si>
  <si>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</si>
  <si>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</si>
  <si>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</si>
  <si>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</si>
  <si>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</si>
  <si>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</si>
  <si>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</si>
  <si>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</si>
  <si>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</si>
  <si>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</si>
  <si>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</si>
  <si>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</si>
  <si>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</si>
  <si>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</si>
  <si>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</si>
  <si>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</si>
  <si>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</si>
  <si>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</si>
  <si>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</si>
  <si>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</si>
  <si>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</si>
  <si>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</si>
  <si>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</si>
  <si>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</si>
  <si>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</si>
  <si>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</si>
  <si>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</si>
  <si>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</si>
  <si>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</si>
  <si>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</si>
  <si>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</si>
  <si>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</si>
  <si>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</si>
  <si>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</si>
  <si>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</si>
  <si>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</si>
  <si>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</si>
  <si>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</si>
  <si>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</si>
  <si>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</si>
  <si>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</si>
  <si>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</si>
  <si>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</si>
  <si>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</si>
  <si>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</si>
  <si>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</si>
  <si>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</si>
  <si>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</si>
  <si>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</si>
  <si>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</si>
  <si>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</si>
  <si>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</si>
  <si>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</si>
  <si>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</si>
  <si>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</si>
  <si>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</si>
  <si>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</si>
  <si>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</si>
  <si>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</si>
  <si>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</si>
  <si>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</si>
  <si>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</si>
  <si>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</si>
  <si>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</si>
  <si>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</si>
  <si>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</si>
  <si>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</si>
  <si>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</si>
  <si>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</si>
  <si>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</si>
  <si>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</si>
  <si>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</si>
  <si>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</si>
  <si>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</si>
  <si>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</si>
  <si>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</si>
  <si>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</si>
  <si>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</si>
  <si>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</si>
  <si>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</si>
  <si>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</si>
  <si>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</si>
  <si>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</si>
  <si>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</si>
  <si>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</si>
  <si>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</si>
  <si>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</si>
  <si>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</si>
  <si>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</si>
  <si>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</si>
  <si>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</si>
  <si>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</si>
  <si>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</si>
  <si>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</si>
  <si>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</si>
  <si>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</si>
  <si>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</si>
  <si>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</si>
  <si>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</si>
  <si>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</si>
  <si>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</si>
  <si>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</si>
  <si>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</si>
  <si>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</si>
  <si>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</si>
  <si>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</si>
  <si>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</si>
  <si>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</si>
  <si>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</si>
  <si>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</si>
  <si>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</si>
  <si>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</si>
  <si>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</si>
  <si>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</si>
  <si>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</si>
  <si>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</si>
  <si>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</si>
  <si>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</si>
  <si>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</si>
  <si>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</si>
  <si>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</si>
  <si>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</si>
  <si>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</si>
  <si>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</si>
  <si>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</si>
  <si>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</si>
  <si>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</si>
  <si>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</si>
  <si>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</si>
  <si>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</si>
  <si>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</si>
  <si>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</si>
  <si>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</si>
  <si>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</si>
  <si>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</si>
  <si>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</si>
  <si>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</si>
  <si>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Alquileres pagados por anticipado</t>
  </si>
  <si>
    <t>Muebles y enseres</t>
  </si>
  <si>
    <t>Comercial "LOS ROBLES"</t>
  </si>
  <si>
    <t>Practicado al 01 de Abril de 2023</t>
  </si>
  <si>
    <t xml:space="preserve"> ----------CT-01--------</t>
  </si>
  <si>
    <t>Glosa: Por inicio de actividades</t>
  </si>
  <si>
    <t xml:space="preserve"> -----------CI-01----------</t>
  </si>
  <si>
    <t>ALQUILERES PAGADOS POR ANTICIPADO</t>
  </si>
  <si>
    <t>DEUDAS POR PAGAR</t>
  </si>
  <si>
    <t>IT POR PAGAR</t>
  </si>
  <si>
    <t xml:space="preserve"> ------------CT-02------------</t>
  </si>
  <si>
    <t>Glosa: Por cancelacion de deuda con "Gato Blanco"</t>
  </si>
  <si>
    <t xml:space="preserve"> -----------CE-01----------</t>
  </si>
  <si>
    <t xml:space="preserve"> ---------CI-02---------</t>
  </si>
  <si>
    <t>Glosa: Por compra al credito de mercaderia s/fact # 490</t>
  </si>
  <si>
    <t>Glosa: Por venta de mercaderia s/fact # 4031</t>
  </si>
  <si>
    <t>Glosa: Por venta de mercaderia s/fact # 101</t>
  </si>
  <si>
    <t xml:space="preserve"> ---------CE-02---------</t>
  </si>
  <si>
    <t>MANTENIMIENTO MOBILIARIO</t>
  </si>
  <si>
    <t>Glosa: Por pago de arreglo de varios muebles s/fact # 909</t>
  </si>
  <si>
    <t xml:space="preserve"> ----------CE-03-------</t>
  </si>
  <si>
    <t>Glosa: Por compra de escritorio s/fact # 1234</t>
  </si>
  <si>
    <t xml:space="preserve"> ---------CT-03---------</t>
  </si>
  <si>
    <t>Glosa: Por retiro de efectivo del banco</t>
  </si>
  <si>
    <t xml:space="preserve"> --------CE-04--------</t>
  </si>
  <si>
    <t>ALQUILER DE OFICINA</t>
  </si>
  <si>
    <t>Glosa: Por pago de alquileres s/fact # 2356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</si>
  <si>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</si>
  <si>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</si>
  <si>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</si>
  <si>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</si>
  <si>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</si>
  <si>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</si>
  <si>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</si>
  <si>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</si>
  <si>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</si>
  <si>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</si>
  <si>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</si>
  <si>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</si>
  <si>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</si>
  <si>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OPERATIVA</t>
  </si>
  <si>
    <t>GANANCIA DEL EJERCICIO</t>
  </si>
  <si>
    <t>COMERCIAL "LOS ROBLES"</t>
  </si>
  <si>
    <t>DEL 01 AL 30 DE ABRIL DE 2023</t>
  </si>
  <si>
    <t>COMERCIAL"LOS ROBLES"</t>
  </si>
  <si>
    <t>Del 01 al 30 de abril de 2023</t>
  </si>
  <si>
    <t>Al 30 de abril de 2023</t>
  </si>
  <si>
    <t>I.T. POR PAGAR</t>
  </si>
  <si>
    <t>APORTE LABORAL GESTORA POR PAGAR</t>
  </si>
  <si>
    <t xml:space="preserve"> -----CT-04-----</t>
  </si>
  <si>
    <t>Glosa: Cancelacion de IVA Abril 2023</t>
  </si>
  <si>
    <t>PRESTAMO BANCARIO</t>
  </si>
  <si>
    <t>Equipos de computación</t>
  </si>
  <si>
    <t>Caja M/N</t>
  </si>
  <si>
    <t>Practicado al 01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</si>
</sst>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4" fontId="1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4" fontId="0" fillId="5" borderId="1" xfId="0" applyNumberFormat="1" applyFill="1" applyBorder="1"/>
    <xf numFmtId="0" fontId="0" fillId="5" borderId="1" xfId="0" applyFill="1" applyBorder="1" applyAlignment="1">
      <alignment horizontal="right"/>
    </xf>
    <xf numFmtId="0" fontId="1" fillId="3" borderId="6" xfId="0" applyFont="1" applyFill="1" applyBorder="1"/>
    <xf numFmtId="0" fontId="1" fillId="3" borderId="7" xfId="0" applyFont="1" applyFill="1" applyBorder="1"/>
    <xf numFmtId="4" fontId="1" fillId="3" borderId="7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3" applyFont="1"/>
    <xf numFmtId="0" fontId="9" fillId="0" borderId="0" xfId="3" applyFont="1"/>
    <xf numFmtId="0" fontId="0" fillId="0" borderId="1" xfId="0" applyBorder="1" applyAlignment="1">
      <alignment horizontal="right"/>
    </xf>
    <xf numFmtId="0" fontId="10" fillId="0" borderId="0" xfId="0" applyFont="1"/>
    <xf numFmtId="0" fontId="2" fillId="0" borderId="0" xfId="0" applyFont="1"/>
    <xf numFmtId="4" fontId="1" fillId="2" borderId="11" xfId="0" applyNumberFormat="1" applyFont="1" applyFill="1" applyBorder="1"/>
    <xf numFmtId="4" fontId="1" fillId="0" borderId="2" xfId="0" applyNumberFormat="1" applyFont="1" applyBorder="1"/>
    <xf numFmtId="0" fontId="11" fillId="0" borderId="0" xfId="0" applyFont="1"/>
    <xf numFmtId="4" fontId="12" fillId="0" borderId="0" xfId="0" applyNumberFormat="1" applyFont="1"/>
    <xf numFmtId="4" fontId="11" fillId="0" borderId="0" xfId="0" applyNumberFormat="1" applyFont="1"/>
    <xf numFmtId="0" fontId="13" fillId="0" borderId="0" xfId="0" applyFont="1"/>
    <xf numFmtId="4" fontId="1" fillId="0" borderId="11" xfId="0" applyNumberFormat="1" applyFont="1" applyBorder="1"/>
    <xf numFmtId="4" fontId="11" fillId="0" borderId="2" xfId="0" applyNumberFormat="1" applyFont="1" applyBorder="1"/>
    <xf numFmtId="4" fontId="0" fillId="0" borderId="9" xfId="0" applyNumberFormat="1" applyBorder="1"/>
    <xf numFmtId="4" fontId="0" fillId="0" borderId="12" xfId="0" applyNumberFormat="1" applyBorder="1"/>
    <xf numFmtId="4" fontId="0" fillId="0" borderId="4" xfId="0" applyNumberFormat="1" applyBorder="1"/>
    <xf numFmtId="0" fontId="1" fillId="0" borderId="3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horizontal="left"/>
    </xf>
    <xf numFmtId="4" fontId="0" fillId="0" borderId="0" xfId="0" applyNumberFormat="1" applyBorder="1"/>
    <xf numFmtId="0" fontId="0" fillId="0" borderId="1" xfId="0" applyFill="1" applyBorder="1"/>
    <xf numFmtId="0" fontId="0" fillId="0" borderId="1" xfId="0" applyFill="1" applyBorder="1" applyAlignment="1">
      <alignment horizontal="right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" fontId="0" fillId="6" borderId="0" xfId="0" applyNumberFormat="1" applyFill="1"/>
    <xf numFmtId="4" fontId="1" fillId="7" borderId="1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4" fontId="1" fillId="8" borderId="1" xfId="0" applyNumberFormat="1" applyFont="1" applyFill="1" applyBorder="1" applyAlignment="1">
      <alignment horizontal="center"/>
    </xf>
    <xf numFmtId="4" fontId="0" fillId="8" borderId="1" xfId="0" applyNumberFormat="1" applyFill="1" applyBorder="1"/>
    <xf numFmtId="4" fontId="0" fillId="9" borderId="1" xfId="0" applyNumberFormat="1" applyFill="1" applyBorder="1"/>
    <xf numFmtId="4" fontId="1" fillId="9" borderId="1" xfId="0" applyNumberFormat="1" applyFont="1" applyFill="1" applyBorder="1"/>
    <xf numFmtId="0" fontId="1" fillId="0" borderId="0" xfId="0" applyFont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/>
    </xf>
    <xf numFmtId="14" fontId="0" fillId="5" borderId="10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4" fontId="0" fillId="2" borderId="0" xfId="0" applyNumberFormat="1" applyFill="1" applyAlignment="1">
      <alignment horizontal="center"/>
    </xf>
    <xf numFmtId="4" fontId="0" fillId="0" borderId="0" xfId="0" applyNumberFormat="1" applyAlignment="1">
      <alignment horizontal="center"/>
    </xf>
    <xf numFmtId="4" fontId="0" fillId="2" borderId="0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4" fontId="1" fillId="8" borderId="1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3" xr:uid="{6EFACD45-18EB-4E80-B998-41D4BFD013D8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34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57A32C02-299C-4F76-BDDB-807ACAB0F986}"/>
            </a:ext>
          </a:extLst>
        </xdr:cNvPr>
        <xdr:cNvSpPr/>
      </xdr:nvSpPr>
      <xdr:spPr>
        <a:xfrm>
          <a:off x="3316941" y="3518647"/>
          <a:ext cx="1086971" cy="409014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abilidad%20Empresarial%20I/Actividad%20LOS%20PENOCO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 de cuentas"/>
      <sheetName val="Blce. Apertura"/>
      <sheetName val="Libro Diario 1"/>
      <sheetName val="Mayores"/>
      <sheetName val="BCSS"/>
      <sheetName val="FACTURA"/>
      <sheetName val="PLLA SUELDOS"/>
      <sheetName val="AP. Y BENEFICIOS"/>
      <sheetName val="HOJA DE TRABAJO"/>
      <sheetName val="ER"/>
      <sheetName val="B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2">
          <cell r="B12" t="str">
            <v>CAPITAL SOCIAL</v>
          </cell>
        </row>
        <row r="16">
          <cell r="B16" t="str">
            <v>I.T.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187-FFDA-48C4-98CB-481D7B8B3C89}">
  <dimension ref="A1:C270"/>
  <sheetViews>
    <sheetView zoomScale="145" workbookViewId="0">
      <selection activeCell="C37" sqref="C37"/>
    </sheetView>
  </sheetViews>
  <sheetFormatPr baseColWidth="10" defaultColWidth="11.44140625" defaultRowHeight="10.199999999999999" x14ac:dyDescent="0.2"/>
  <cols>
    <col min="1" max="1" width="6.88671875" style="25" customWidth="1"/>
    <col min="2" max="2" width="11" style="25" customWidth="1"/>
    <col min="3" max="3" width="40.5546875" style="25" customWidth="1"/>
    <col min="4" max="16384" width="11.44140625" style="25"/>
  </cols>
  <sheetData>
    <row r="1" spans="1:3" x14ac:dyDescent="0.2">
      <c r="B1" s="25" t="s">
        <v>583</v>
      </c>
      <c r="C1" s="25" t="s">
        <v>582</v>
      </c>
    </row>
    <row r="2" spans="1:3" x14ac:dyDescent="0.2">
      <c r="A2" s="25" t="s">
        <v>59</v>
      </c>
      <c r="B2" s="25" t="s">
        <v>581</v>
      </c>
      <c r="C2" s="25" t="s">
        <v>0</v>
      </c>
    </row>
    <row r="3" spans="1:3" x14ac:dyDescent="0.2">
      <c r="A3" s="25" t="s">
        <v>59</v>
      </c>
      <c r="B3" s="25" t="s">
        <v>580</v>
      </c>
      <c r="C3" s="25" t="s">
        <v>579</v>
      </c>
    </row>
    <row r="4" spans="1:3" x14ac:dyDescent="0.2">
      <c r="A4" s="25" t="s">
        <v>59</v>
      </c>
      <c r="B4" s="25" t="s">
        <v>578</v>
      </c>
      <c r="C4" s="25" t="s">
        <v>577</v>
      </c>
    </row>
    <row r="5" spans="1:3" x14ac:dyDescent="0.2">
      <c r="A5" s="25" t="s">
        <v>59</v>
      </c>
      <c r="B5" s="25" t="s">
        <v>576</v>
      </c>
      <c r="C5" s="25" t="s">
        <v>575</v>
      </c>
    </row>
    <row r="6" spans="1:3" x14ac:dyDescent="0.2">
      <c r="A6" s="25" t="s">
        <v>59</v>
      </c>
      <c r="B6" s="25" t="s">
        <v>574</v>
      </c>
      <c r="C6" s="26" t="s">
        <v>573</v>
      </c>
    </row>
    <row r="7" spans="1:3" x14ac:dyDescent="0.2">
      <c r="A7" s="25" t="s">
        <v>59</v>
      </c>
      <c r="B7" s="25" t="s">
        <v>572</v>
      </c>
      <c r="C7" s="25" t="s">
        <v>571</v>
      </c>
    </row>
    <row r="8" spans="1:3" x14ac:dyDescent="0.2">
      <c r="A8" s="25" t="s">
        <v>59</v>
      </c>
      <c r="B8" s="25" t="s">
        <v>570</v>
      </c>
      <c r="C8" s="25" t="s">
        <v>569</v>
      </c>
    </row>
    <row r="9" spans="1:3" x14ac:dyDescent="0.2">
      <c r="A9" s="25" t="s">
        <v>59</v>
      </c>
      <c r="B9" s="25" t="s">
        <v>568</v>
      </c>
      <c r="C9" s="25" t="s">
        <v>567</v>
      </c>
    </row>
    <row r="10" spans="1:3" x14ac:dyDescent="0.2">
      <c r="A10" s="25" t="s">
        <v>59</v>
      </c>
      <c r="B10" s="25" t="s">
        <v>566</v>
      </c>
      <c r="C10" s="25" t="s">
        <v>565</v>
      </c>
    </row>
    <row r="11" spans="1:3" x14ac:dyDescent="0.2">
      <c r="A11" s="25" t="s">
        <v>59</v>
      </c>
      <c r="B11" s="25" t="s">
        <v>564</v>
      </c>
      <c r="C11" s="25" t="s">
        <v>563</v>
      </c>
    </row>
    <row r="12" spans="1:3" x14ac:dyDescent="0.2">
      <c r="A12" s="25" t="s">
        <v>59</v>
      </c>
      <c r="B12" s="25" t="s">
        <v>562</v>
      </c>
      <c r="C12" s="25" t="s">
        <v>561</v>
      </c>
    </row>
    <row r="13" spans="1:3" x14ac:dyDescent="0.2">
      <c r="A13" s="25" t="s">
        <v>59</v>
      </c>
      <c r="B13" s="25" t="s">
        <v>560</v>
      </c>
      <c r="C13" s="25" t="s">
        <v>559</v>
      </c>
    </row>
    <row r="14" spans="1:3" x14ac:dyDescent="0.2">
      <c r="A14" s="25" t="s">
        <v>59</v>
      </c>
      <c r="B14" s="25" t="s">
        <v>558</v>
      </c>
      <c r="C14" s="25" t="s">
        <v>557</v>
      </c>
    </row>
    <row r="15" spans="1:3" x14ac:dyDescent="0.2">
      <c r="A15" s="25" t="s">
        <v>59</v>
      </c>
      <c r="B15" s="25" t="s">
        <v>556</v>
      </c>
      <c r="C15" s="25" t="s">
        <v>555</v>
      </c>
    </row>
    <row r="16" spans="1:3" x14ac:dyDescent="0.2">
      <c r="A16" s="25" t="s">
        <v>59</v>
      </c>
      <c r="B16" s="25" t="s">
        <v>554</v>
      </c>
      <c r="C16" s="25" t="s">
        <v>553</v>
      </c>
    </row>
    <row r="17" spans="1:3" x14ac:dyDescent="0.2">
      <c r="A17" s="25" t="s">
        <v>59</v>
      </c>
      <c r="B17" s="25" t="s">
        <v>552</v>
      </c>
      <c r="C17" s="25" t="s">
        <v>551</v>
      </c>
    </row>
    <row r="18" spans="1:3" x14ac:dyDescent="0.2">
      <c r="A18" s="25" t="s">
        <v>59</v>
      </c>
      <c r="B18" s="25" t="s">
        <v>550</v>
      </c>
      <c r="C18" s="25" t="s">
        <v>549</v>
      </c>
    </row>
    <row r="19" spans="1:3" x14ac:dyDescent="0.2">
      <c r="A19" s="25" t="s">
        <v>59</v>
      </c>
      <c r="B19" s="25" t="s">
        <v>548</v>
      </c>
      <c r="C19" s="25" t="s">
        <v>547</v>
      </c>
    </row>
    <row r="20" spans="1:3" x14ac:dyDescent="0.2">
      <c r="A20" s="25" t="s">
        <v>59</v>
      </c>
      <c r="B20" s="25" t="s">
        <v>546</v>
      </c>
      <c r="C20" s="25" t="s">
        <v>545</v>
      </c>
    </row>
    <row r="21" spans="1:3" x14ac:dyDescent="0.2">
      <c r="A21" s="25" t="s">
        <v>59</v>
      </c>
      <c r="B21" s="25" t="s">
        <v>544</v>
      </c>
      <c r="C21" s="25" t="s">
        <v>543</v>
      </c>
    </row>
    <row r="22" spans="1:3" x14ac:dyDescent="0.2">
      <c r="A22" s="25" t="s">
        <v>59</v>
      </c>
      <c r="B22" s="25" t="s">
        <v>542</v>
      </c>
      <c r="C22" s="25" t="s">
        <v>541</v>
      </c>
    </row>
    <row r="23" spans="1:3" x14ac:dyDescent="0.2">
      <c r="A23" s="25" t="s">
        <v>59</v>
      </c>
      <c r="B23" s="25" t="s">
        <v>540</v>
      </c>
      <c r="C23" s="25" t="s">
        <v>518</v>
      </c>
    </row>
    <row r="24" spans="1:3" x14ac:dyDescent="0.2">
      <c r="A24" s="25" t="s">
        <v>59</v>
      </c>
      <c r="B24" s="25" t="s">
        <v>539</v>
      </c>
      <c r="C24" s="25" t="s">
        <v>538</v>
      </c>
    </row>
    <row r="25" spans="1:3" x14ac:dyDescent="0.2">
      <c r="A25" s="25" t="s">
        <v>59</v>
      </c>
      <c r="B25" s="25" t="s">
        <v>537</v>
      </c>
      <c r="C25" s="25" t="s">
        <v>536</v>
      </c>
    </row>
    <row r="26" spans="1:3" x14ac:dyDescent="0.2">
      <c r="A26" s="25" t="s">
        <v>59</v>
      </c>
      <c r="B26" s="25" t="s">
        <v>535</v>
      </c>
      <c r="C26" s="25" t="s">
        <v>534</v>
      </c>
    </row>
    <row r="27" spans="1:3" x14ac:dyDescent="0.2">
      <c r="A27" s="25" t="s">
        <v>59</v>
      </c>
      <c r="B27" s="25" t="s">
        <v>533</v>
      </c>
      <c r="C27" s="25" t="s">
        <v>532</v>
      </c>
    </row>
    <row r="28" spans="1:3" x14ac:dyDescent="0.2">
      <c r="A28" s="25" t="s">
        <v>59</v>
      </c>
      <c r="B28" s="25" t="s">
        <v>531</v>
      </c>
      <c r="C28" s="25" t="s">
        <v>530</v>
      </c>
    </row>
    <row r="29" spans="1:3" x14ac:dyDescent="0.2">
      <c r="A29" s="25" t="s">
        <v>59</v>
      </c>
      <c r="B29" s="25" t="s">
        <v>529</v>
      </c>
      <c r="C29" s="25" t="s">
        <v>528</v>
      </c>
    </row>
    <row r="30" spans="1:3" x14ac:dyDescent="0.2">
      <c r="A30" s="25" t="s">
        <v>59</v>
      </c>
      <c r="B30" s="25" t="s">
        <v>527</v>
      </c>
      <c r="C30" s="25" t="s">
        <v>526</v>
      </c>
    </row>
    <row r="31" spans="1:3" x14ac:dyDescent="0.2">
      <c r="A31" s="25" t="s">
        <v>59</v>
      </c>
      <c r="B31" s="25" t="s">
        <v>525</v>
      </c>
      <c r="C31" s="25" t="s">
        <v>524</v>
      </c>
    </row>
    <row r="32" spans="1:3" x14ac:dyDescent="0.2">
      <c r="A32" s="25" t="s">
        <v>59</v>
      </c>
      <c r="B32" s="25" t="s">
        <v>523</v>
      </c>
      <c r="C32" s="25" t="s">
        <v>522</v>
      </c>
    </row>
    <row r="33" spans="1:3" x14ac:dyDescent="0.2">
      <c r="A33" s="25" t="s">
        <v>59</v>
      </c>
      <c r="B33" s="25" t="s">
        <v>521</v>
      </c>
      <c r="C33" s="25" t="s">
        <v>520</v>
      </c>
    </row>
    <row r="34" spans="1:3" x14ac:dyDescent="0.2">
      <c r="A34" s="25" t="s">
        <v>59</v>
      </c>
      <c r="B34" s="25" t="s">
        <v>519</v>
      </c>
      <c r="C34" s="25" t="s">
        <v>518</v>
      </c>
    </row>
    <row r="35" spans="1:3" x14ac:dyDescent="0.2">
      <c r="A35" s="25" t="s">
        <v>59</v>
      </c>
      <c r="B35" s="25" t="s">
        <v>517</v>
      </c>
      <c r="C35" s="25" t="s">
        <v>516</v>
      </c>
    </row>
    <row r="36" spans="1:3" x14ac:dyDescent="0.2">
      <c r="A36" s="25" t="s">
        <v>59</v>
      </c>
      <c r="B36" s="25" t="s">
        <v>515</v>
      </c>
      <c r="C36" s="25" t="s">
        <v>514</v>
      </c>
    </row>
    <row r="37" spans="1:3" x14ac:dyDescent="0.2">
      <c r="A37" s="25" t="s">
        <v>59</v>
      </c>
      <c r="B37" s="25" t="s">
        <v>513</v>
      </c>
      <c r="C37" s="25" t="s">
        <v>512</v>
      </c>
    </row>
    <row r="38" spans="1:3" x14ac:dyDescent="0.2">
      <c r="A38" s="25" t="s">
        <v>59</v>
      </c>
      <c r="B38" s="25" t="s">
        <v>511</v>
      </c>
      <c r="C38" s="25" t="s">
        <v>510</v>
      </c>
    </row>
    <row r="39" spans="1:3" x14ac:dyDescent="0.2">
      <c r="A39" s="25" t="s">
        <v>59</v>
      </c>
      <c r="B39" s="25" t="s">
        <v>509</v>
      </c>
      <c r="C39" s="25" t="s">
        <v>485</v>
      </c>
    </row>
    <row r="40" spans="1:3" x14ac:dyDescent="0.2">
      <c r="A40" s="25" t="s">
        <v>59</v>
      </c>
      <c r="B40" s="25" t="s">
        <v>508</v>
      </c>
      <c r="C40" s="25" t="s">
        <v>507</v>
      </c>
    </row>
    <row r="41" spans="1:3" x14ac:dyDescent="0.2">
      <c r="A41" s="25" t="s">
        <v>59</v>
      </c>
      <c r="B41" s="25" t="s">
        <v>506</v>
      </c>
      <c r="C41" s="25" t="s">
        <v>505</v>
      </c>
    </row>
    <row r="42" spans="1:3" x14ac:dyDescent="0.2">
      <c r="A42" s="25" t="s">
        <v>59</v>
      </c>
      <c r="B42" s="25" t="s">
        <v>504</v>
      </c>
      <c r="C42" s="25" t="s">
        <v>503</v>
      </c>
    </row>
    <row r="43" spans="1:3" x14ac:dyDescent="0.2">
      <c r="A43" s="25" t="s">
        <v>59</v>
      </c>
      <c r="B43" s="25" t="s">
        <v>502</v>
      </c>
      <c r="C43" s="25" t="s">
        <v>501</v>
      </c>
    </row>
    <row r="44" spans="1:3" x14ac:dyDescent="0.2">
      <c r="A44" s="25" t="s">
        <v>59</v>
      </c>
      <c r="B44" s="25" t="s">
        <v>500</v>
      </c>
      <c r="C44" s="25" t="s">
        <v>499</v>
      </c>
    </row>
    <row r="45" spans="1:3" x14ac:dyDescent="0.2">
      <c r="A45" s="25" t="s">
        <v>59</v>
      </c>
      <c r="B45" s="25" t="s">
        <v>498</v>
      </c>
      <c r="C45" s="25" t="s">
        <v>497</v>
      </c>
    </row>
    <row r="46" spans="1:3" x14ac:dyDescent="0.2">
      <c r="A46" s="25" t="s">
        <v>59</v>
      </c>
      <c r="B46" s="25" t="s">
        <v>496</v>
      </c>
      <c r="C46" s="25" t="s">
        <v>495</v>
      </c>
    </row>
    <row r="47" spans="1:3" x14ac:dyDescent="0.2">
      <c r="A47" s="25" t="s">
        <v>59</v>
      </c>
      <c r="B47" s="25" t="s">
        <v>494</v>
      </c>
      <c r="C47" s="25" t="s">
        <v>493</v>
      </c>
    </row>
    <row r="48" spans="1:3" x14ac:dyDescent="0.2">
      <c r="A48" s="25" t="s">
        <v>59</v>
      </c>
      <c r="B48" s="25" t="s">
        <v>492</v>
      </c>
      <c r="C48" s="25" t="s">
        <v>491</v>
      </c>
    </row>
    <row r="49" spans="1:3" x14ac:dyDescent="0.2">
      <c r="A49" s="25" t="s">
        <v>59</v>
      </c>
      <c r="B49" s="25" t="s">
        <v>490</v>
      </c>
      <c r="C49" s="25" t="s">
        <v>489</v>
      </c>
    </row>
    <row r="50" spans="1:3" x14ac:dyDescent="0.2">
      <c r="A50" s="25" t="s">
        <v>59</v>
      </c>
      <c r="B50" s="25" t="s">
        <v>488</v>
      </c>
      <c r="C50" s="25" t="s">
        <v>487</v>
      </c>
    </row>
    <row r="51" spans="1:3" x14ac:dyDescent="0.2">
      <c r="A51" s="25" t="s">
        <v>59</v>
      </c>
      <c r="B51" s="25" t="s">
        <v>486</v>
      </c>
      <c r="C51" s="25" t="s">
        <v>485</v>
      </c>
    </row>
    <row r="52" spans="1:3" x14ac:dyDescent="0.2">
      <c r="A52" s="25" t="s">
        <v>59</v>
      </c>
      <c r="B52" s="25" t="s">
        <v>484</v>
      </c>
      <c r="C52" s="25" t="s">
        <v>483</v>
      </c>
    </row>
    <row r="53" spans="1:3" x14ac:dyDescent="0.2">
      <c r="A53" s="25" t="s">
        <v>59</v>
      </c>
      <c r="B53" s="25" t="s">
        <v>482</v>
      </c>
      <c r="C53" s="25" t="s">
        <v>481</v>
      </c>
    </row>
    <row r="54" spans="1:3" x14ac:dyDescent="0.2">
      <c r="A54" s="25" t="s">
        <v>59</v>
      </c>
      <c r="B54" s="25" t="s">
        <v>480</v>
      </c>
      <c r="C54" s="25" t="s">
        <v>479</v>
      </c>
    </row>
    <row r="55" spans="1:3" x14ac:dyDescent="0.2">
      <c r="A55" s="25" t="s">
        <v>59</v>
      </c>
      <c r="B55" s="25" t="s">
        <v>478</v>
      </c>
      <c r="C55" s="25" t="s">
        <v>477</v>
      </c>
    </row>
    <row r="56" spans="1:3" x14ac:dyDescent="0.2">
      <c r="A56" s="25" t="s">
        <v>59</v>
      </c>
      <c r="B56" s="25" t="s">
        <v>476</v>
      </c>
      <c r="C56" s="25" t="s">
        <v>475</v>
      </c>
    </row>
    <row r="57" spans="1:3" x14ac:dyDescent="0.2">
      <c r="A57" s="25" t="s">
        <v>59</v>
      </c>
      <c r="B57" s="25" t="s">
        <v>474</v>
      </c>
      <c r="C57" s="25" t="s">
        <v>473</v>
      </c>
    </row>
    <row r="58" spans="1:3" x14ac:dyDescent="0.2">
      <c r="A58" s="25" t="s">
        <v>59</v>
      </c>
      <c r="B58" s="25" t="s">
        <v>472</v>
      </c>
      <c r="C58" s="25" t="s">
        <v>471</v>
      </c>
    </row>
    <row r="59" spans="1:3" x14ac:dyDescent="0.2">
      <c r="A59" s="25" t="s">
        <v>59</v>
      </c>
      <c r="B59" s="25" t="s">
        <v>470</v>
      </c>
      <c r="C59" s="25" t="s">
        <v>469</v>
      </c>
    </row>
    <row r="60" spans="1:3" x14ac:dyDescent="0.2">
      <c r="A60" s="25" t="s">
        <v>59</v>
      </c>
      <c r="B60" s="25" t="s">
        <v>468</v>
      </c>
      <c r="C60" s="25" t="s">
        <v>467</v>
      </c>
    </row>
    <row r="61" spans="1:3" x14ac:dyDescent="0.2">
      <c r="A61" s="25" t="s">
        <v>59</v>
      </c>
      <c r="B61" s="25" t="s">
        <v>466</v>
      </c>
      <c r="C61" s="25" t="s">
        <v>465</v>
      </c>
    </row>
    <row r="62" spans="1:3" x14ac:dyDescent="0.2">
      <c r="A62" s="25" t="s">
        <v>59</v>
      </c>
      <c r="B62" s="25" t="s">
        <v>464</v>
      </c>
      <c r="C62" s="25" t="s">
        <v>463</v>
      </c>
    </row>
    <row r="63" spans="1:3" x14ac:dyDescent="0.2">
      <c r="A63" s="25" t="s">
        <v>59</v>
      </c>
      <c r="B63" s="25" t="s">
        <v>462</v>
      </c>
      <c r="C63" s="25" t="s">
        <v>461</v>
      </c>
    </row>
    <row r="64" spans="1:3" x14ac:dyDescent="0.2">
      <c r="A64" s="25" t="s">
        <v>59</v>
      </c>
      <c r="B64" s="25" t="s">
        <v>460</v>
      </c>
      <c r="C64" s="25" t="s">
        <v>459</v>
      </c>
    </row>
    <row r="65" spans="1:3" x14ac:dyDescent="0.2">
      <c r="A65" s="25" t="s">
        <v>59</v>
      </c>
      <c r="B65" s="25" t="s">
        <v>458</v>
      </c>
      <c r="C65" s="25" t="s">
        <v>457</v>
      </c>
    </row>
    <row r="66" spans="1:3" x14ac:dyDescent="0.2">
      <c r="A66" s="25" t="s">
        <v>59</v>
      </c>
      <c r="B66" s="25" t="s">
        <v>456</v>
      </c>
      <c r="C66" s="25" t="s">
        <v>455</v>
      </c>
    </row>
    <row r="67" spans="1:3" x14ac:dyDescent="0.2">
      <c r="A67" s="25" t="s">
        <v>59</v>
      </c>
      <c r="B67" s="25" t="s">
        <v>454</v>
      </c>
      <c r="C67" s="25" t="s">
        <v>453</v>
      </c>
    </row>
    <row r="68" spans="1:3" x14ac:dyDescent="0.2">
      <c r="A68" s="25" t="s">
        <v>59</v>
      </c>
      <c r="B68" s="25" t="s">
        <v>452</v>
      </c>
      <c r="C68" s="25" t="s">
        <v>451</v>
      </c>
    </row>
    <row r="69" spans="1:3" x14ac:dyDescent="0.2">
      <c r="A69" s="25" t="s">
        <v>59</v>
      </c>
      <c r="B69" s="25" t="s">
        <v>450</v>
      </c>
      <c r="C69" s="25" t="s">
        <v>449</v>
      </c>
    </row>
    <row r="70" spans="1:3" x14ac:dyDescent="0.2">
      <c r="A70" s="25" t="s">
        <v>59</v>
      </c>
      <c r="B70" s="25" t="s">
        <v>448</v>
      </c>
      <c r="C70" s="25" t="s">
        <v>1</v>
      </c>
    </row>
    <row r="71" spans="1:3" x14ac:dyDescent="0.2">
      <c r="A71" s="25" t="s">
        <v>59</v>
      </c>
      <c r="B71" s="25" t="s">
        <v>447</v>
      </c>
      <c r="C71" s="25" t="s">
        <v>446</v>
      </c>
    </row>
    <row r="72" spans="1:3" x14ac:dyDescent="0.2">
      <c r="A72" s="25" t="s">
        <v>59</v>
      </c>
      <c r="B72" s="25" t="s">
        <v>445</v>
      </c>
      <c r="C72" s="25" t="s">
        <v>444</v>
      </c>
    </row>
    <row r="73" spans="1:3" x14ac:dyDescent="0.2">
      <c r="A73" s="25" t="s">
        <v>59</v>
      </c>
      <c r="B73" s="25" t="s">
        <v>443</v>
      </c>
      <c r="C73" s="25" t="s">
        <v>442</v>
      </c>
    </row>
    <row r="74" spans="1:3" x14ac:dyDescent="0.2">
      <c r="A74" s="25" t="s">
        <v>59</v>
      </c>
      <c r="B74" s="25" t="s">
        <v>441</v>
      </c>
      <c r="C74" s="25" t="s">
        <v>440</v>
      </c>
    </row>
    <row r="75" spans="1:3" x14ac:dyDescent="0.2">
      <c r="A75" s="25" t="s">
        <v>59</v>
      </c>
      <c r="B75" s="25" t="s">
        <v>439</v>
      </c>
      <c r="C75" s="25" t="s">
        <v>438</v>
      </c>
    </row>
    <row r="76" spans="1:3" x14ac:dyDescent="0.2">
      <c r="A76" s="25" t="s">
        <v>59</v>
      </c>
      <c r="B76" s="25" t="s">
        <v>437</v>
      </c>
      <c r="C76" s="25" t="s">
        <v>436</v>
      </c>
    </row>
    <row r="77" spans="1:3" x14ac:dyDescent="0.2">
      <c r="A77" s="25" t="s">
        <v>59</v>
      </c>
      <c r="B77" s="25" t="s">
        <v>435</v>
      </c>
      <c r="C77" s="25" t="s">
        <v>434</v>
      </c>
    </row>
    <row r="78" spans="1:3" x14ac:dyDescent="0.2">
      <c r="A78" s="25" t="s">
        <v>59</v>
      </c>
      <c r="B78" s="25" t="s">
        <v>433</v>
      </c>
      <c r="C78" s="25" t="s">
        <v>432</v>
      </c>
    </row>
    <row r="79" spans="1:3" x14ac:dyDescent="0.2">
      <c r="A79" s="25" t="s">
        <v>59</v>
      </c>
      <c r="B79" s="25" t="s">
        <v>431</v>
      </c>
      <c r="C79" s="25" t="s">
        <v>430</v>
      </c>
    </row>
    <row r="80" spans="1:3" x14ac:dyDescent="0.2">
      <c r="A80" s="25" t="s">
        <v>59</v>
      </c>
      <c r="B80" s="25" t="s">
        <v>429</v>
      </c>
      <c r="C80" s="25" t="s">
        <v>428</v>
      </c>
    </row>
    <row r="81" spans="1:3" x14ac:dyDescent="0.2">
      <c r="A81" s="25" t="s">
        <v>59</v>
      </c>
      <c r="B81" s="25" t="s">
        <v>427</v>
      </c>
      <c r="C81" s="25" t="s">
        <v>426</v>
      </c>
    </row>
    <row r="82" spans="1:3" x14ac:dyDescent="0.2">
      <c r="A82" s="25" t="s">
        <v>59</v>
      </c>
      <c r="B82" s="25" t="s">
        <v>425</v>
      </c>
      <c r="C82" s="25" t="s">
        <v>424</v>
      </c>
    </row>
    <row r="83" spans="1:3" x14ac:dyDescent="0.2">
      <c r="A83" s="25" t="s">
        <v>59</v>
      </c>
      <c r="B83" s="25" t="s">
        <v>423</v>
      </c>
      <c r="C83" s="25" t="s">
        <v>422</v>
      </c>
    </row>
    <row r="84" spans="1:3" x14ac:dyDescent="0.2">
      <c r="A84" s="25" t="s">
        <v>59</v>
      </c>
      <c r="B84" s="25" t="s">
        <v>421</v>
      </c>
      <c r="C84" s="25" t="s">
        <v>420</v>
      </c>
    </row>
    <row r="85" spans="1:3" x14ac:dyDescent="0.2">
      <c r="A85" s="25" t="s">
        <v>59</v>
      </c>
      <c r="B85" s="25" t="s">
        <v>419</v>
      </c>
      <c r="C85" s="25" t="s">
        <v>418</v>
      </c>
    </row>
    <row r="86" spans="1:3" x14ac:dyDescent="0.2">
      <c r="A86" s="25" t="s">
        <v>59</v>
      </c>
      <c r="B86" s="25" t="s">
        <v>417</v>
      </c>
      <c r="C86" s="25" t="s">
        <v>416</v>
      </c>
    </row>
    <row r="87" spans="1:3" x14ac:dyDescent="0.2">
      <c r="A87" s="25" t="s">
        <v>59</v>
      </c>
      <c r="B87" s="25" t="s">
        <v>415</v>
      </c>
      <c r="C87" s="25" t="s">
        <v>414</v>
      </c>
    </row>
    <row r="88" spans="1:3" x14ac:dyDescent="0.2">
      <c r="A88" s="25" t="s">
        <v>59</v>
      </c>
      <c r="B88" s="25" t="s">
        <v>413</v>
      </c>
      <c r="C88" s="25" t="s">
        <v>412</v>
      </c>
    </row>
    <row r="89" spans="1:3" x14ac:dyDescent="0.2">
      <c r="A89" s="25" t="s">
        <v>59</v>
      </c>
      <c r="B89" s="25" t="s">
        <v>411</v>
      </c>
      <c r="C89" s="25" t="s">
        <v>410</v>
      </c>
    </row>
    <row r="90" spans="1:3" x14ac:dyDescent="0.2">
      <c r="A90" s="25" t="s">
        <v>59</v>
      </c>
      <c r="B90" s="25" t="s">
        <v>409</v>
      </c>
      <c r="C90" s="25" t="s">
        <v>408</v>
      </c>
    </row>
    <row r="91" spans="1:3" x14ac:dyDescent="0.2">
      <c r="A91" s="25" t="s">
        <v>59</v>
      </c>
      <c r="B91" s="25" t="s">
        <v>407</v>
      </c>
      <c r="C91" s="25" t="s">
        <v>406</v>
      </c>
    </row>
    <row r="92" spans="1:3" x14ac:dyDescent="0.2">
      <c r="A92" s="25" t="s">
        <v>59</v>
      </c>
      <c r="B92" s="25" t="s">
        <v>405</v>
      </c>
      <c r="C92" s="25" t="s">
        <v>404</v>
      </c>
    </row>
    <row r="93" spans="1:3" x14ac:dyDescent="0.2">
      <c r="A93" s="25" t="s">
        <v>59</v>
      </c>
      <c r="B93" s="25" t="s">
        <v>403</v>
      </c>
      <c r="C93" s="25" t="s">
        <v>402</v>
      </c>
    </row>
    <row r="94" spans="1:3" x14ac:dyDescent="0.2">
      <c r="A94" s="25" t="s">
        <v>59</v>
      </c>
      <c r="B94" s="25" t="s">
        <v>401</v>
      </c>
      <c r="C94" s="25" t="s">
        <v>400</v>
      </c>
    </row>
    <row r="95" spans="1:3" x14ac:dyDescent="0.2">
      <c r="A95" s="25" t="s">
        <v>59</v>
      </c>
      <c r="B95" s="25" t="s">
        <v>399</v>
      </c>
      <c r="C95" s="25" t="s">
        <v>398</v>
      </c>
    </row>
    <row r="96" spans="1:3" x14ac:dyDescent="0.2">
      <c r="A96" s="25" t="s">
        <v>59</v>
      </c>
      <c r="B96" s="25" t="s">
        <v>397</v>
      </c>
      <c r="C96" s="25" t="s">
        <v>396</v>
      </c>
    </row>
    <row r="97" spans="1:3" x14ac:dyDescent="0.2">
      <c r="A97" s="25" t="s">
        <v>59</v>
      </c>
      <c r="B97" s="25" t="s">
        <v>395</v>
      </c>
      <c r="C97" s="25" t="s">
        <v>394</v>
      </c>
    </row>
    <row r="98" spans="1:3" x14ac:dyDescent="0.2">
      <c r="A98" s="25" t="s">
        <v>59</v>
      </c>
      <c r="B98" s="25" t="s">
        <v>393</v>
      </c>
      <c r="C98" s="25" t="s">
        <v>392</v>
      </c>
    </row>
    <row r="99" spans="1:3" x14ac:dyDescent="0.2">
      <c r="A99" s="25" t="s">
        <v>59</v>
      </c>
      <c r="B99" s="25" t="s">
        <v>391</v>
      </c>
      <c r="C99" s="25" t="s">
        <v>390</v>
      </c>
    </row>
    <row r="100" spans="1:3" x14ac:dyDescent="0.2">
      <c r="A100" s="25" t="s">
        <v>59</v>
      </c>
      <c r="B100" s="25" t="s">
        <v>389</v>
      </c>
      <c r="C100" s="25" t="s">
        <v>388</v>
      </c>
    </row>
    <row r="101" spans="1:3" x14ac:dyDescent="0.2">
      <c r="A101" s="25" t="s">
        <v>59</v>
      </c>
      <c r="B101" s="25" t="s">
        <v>387</v>
      </c>
      <c r="C101" s="25" t="s">
        <v>386</v>
      </c>
    </row>
    <row r="102" spans="1:3" x14ac:dyDescent="0.2">
      <c r="A102" s="25" t="s">
        <v>59</v>
      </c>
      <c r="B102" s="25" t="s">
        <v>385</v>
      </c>
      <c r="C102" s="25" t="s">
        <v>384</v>
      </c>
    </row>
    <row r="103" spans="1:3" x14ac:dyDescent="0.2">
      <c r="A103" s="25" t="s">
        <v>59</v>
      </c>
      <c r="B103" s="25" t="s">
        <v>383</v>
      </c>
      <c r="C103" s="25" t="s">
        <v>382</v>
      </c>
    </row>
    <row r="104" spans="1:3" x14ac:dyDescent="0.2">
      <c r="A104" s="25" t="s">
        <v>59</v>
      </c>
      <c r="B104" s="25" t="s">
        <v>381</v>
      </c>
      <c r="C104" s="25" t="s">
        <v>380</v>
      </c>
    </row>
    <row r="105" spans="1:3" x14ac:dyDescent="0.2">
      <c r="A105" s="25" t="s">
        <v>59</v>
      </c>
      <c r="B105" s="25" t="s">
        <v>379</v>
      </c>
      <c r="C105" s="25" t="s">
        <v>378</v>
      </c>
    </row>
    <row r="106" spans="1:3" x14ac:dyDescent="0.2">
      <c r="A106" s="25" t="s">
        <v>59</v>
      </c>
      <c r="B106" s="25" t="s">
        <v>377</v>
      </c>
      <c r="C106" s="25" t="s">
        <v>376</v>
      </c>
    </row>
    <row r="107" spans="1:3" x14ac:dyDescent="0.2">
      <c r="A107" s="25" t="s">
        <v>59</v>
      </c>
      <c r="B107" s="25" t="s">
        <v>375</v>
      </c>
      <c r="C107" s="25" t="s">
        <v>374</v>
      </c>
    </row>
    <row r="108" spans="1:3" x14ac:dyDescent="0.2">
      <c r="A108" s="25" t="s">
        <v>59</v>
      </c>
      <c r="B108" s="25" t="s">
        <v>373</v>
      </c>
      <c r="C108" s="25" t="s">
        <v>372</v>
      </c>
    </row>
    <row r="109" spans="1:3" x14ac:dyDescent="0.2">
      <c r="A109" s="25" t="s">
        <v>59</v>
      </c>
      <c r="B109" s="25" t="s">
        <v>371</v>
      </c>
      <c r="C109" s="25" t="s">
        <v>370</v>
      </c>
    </row>
    <row r="110" spans="1:3" x14ac:dyDescent="0.2">
      <c r="A110" s="25" t="s">
        <v>59</v>
      </c>
      <c r="B110" s="25" t="s">
        <v>369</v>
      </c>
      <c r="C110" s="25" t="s">
        <v>368</v>
      </c>
    </row>
    <row r="111" spans="1:3" x14ac:dyDescent="0.2">
      <c r="A111" s="25" t="s">
        <v>59</v>
      </c>
      <c r="B111" s="25" t="s">
        <v>367</v>
      </c>
      <c r="C111" s="25" t="s">
        <v>366</v>
      </c>
    </row>
    <row r="112" spans="1:3" x14ac:dyDescent="0.2">
      <c r="A112" s="25" t="s">
        <v>59</v>
      </c>
      <c r="B112" s="25" t="s">
        <v>365</v>
      </c>
      <c r="C112" s="25" t="s">
        <v>7</v>
      </c>
    </row>
    <row r="113" spans="1:3" x14ac:dyDescent="0.2">
      <c r="A113" s="25" t="s">
        <v>59</v>
      </c>
      <c r="B113" s="25" t="s">
        <v>364</v>
      </c>
      <c r="C113" s="25" t="s">
        <v>363</v>
      </c>
    </row>
    <row r="114" spans="1:3" x14ac:dyDescent="0.2">
      <c r="A114" s="25" t="s">
        <v>59</v>
      </c>
      <c r="B114" s="25" t="s">
        <v>362</v>
      </c>
      <c r="C114" s="25" t="s">
        <v>361</v>
      </c>
    </row>
    <row r="115" spans="1:3" x14ac:dyDescent="0.2">
      <c r="A115" s="25" t="s">
        <v>59</v>
      </c>
      <c r="B115" s="25" t="s">
        <v>360</v>
      </c>
      <c r="C115" s="25" t="s">
        <v>359</v>
      </c>
    </row>
    <row r="116" spans="1:3" x14ac:dyDescent="0.2">
      <c r="A116" s="25" t="s">
        <v>354</v>
      </c>
      <c r="B116" s="25" t="s">
        <v>358</v>
      </c>
      <c r="C116" s="26" t="s">
        <v>357</v>
      </c>
    </row>
    <row r="117" spans="1:3" x14ac:dyDescent="0.2">
      <c r="A117" s="25" t="s">
        <v>59</v>
      </c>
      <c r="B117" s="25" t="s">
        <v>356</v>
      </c>
      <c r="C117" s="25" t="s">
        <v>355</v>
      </c>
    </row>
    <row r="118" spans="1:3" x14ac:dyDescent="0.2">
      <c r="A118" s="25" t="s">
        <v>354</v>
      </c>
      <c r="B118" s="25" t="s">
        <v>353</v>
      </c>
      <c r="C118" s="25" t="s">
        <v>352</v>
      </c>
    </row>
    <row r="119" spans="1:3" x14ac:dyDescent="0.2">
      <c r="A119" s="25" t="s">
        <v>347</v>
      </c>
      <c r="B119" s="25" t="s">
        <v>351</v>
      </c>
      <c r="C119" s="25" t="s">
        <v>350</v>
      </c>
    </row>
    <row r="120" spans="1:3" x14ac:dyDescent="0.2">
      <c r="A120" s="25" t="s">
        <v>347</v>
      </c>
      <c r="B120" s="25" t="s">
        <v>349</v>
      </c>
      <c r="C120" s="25" t="s">
        <v>348</v>
      </c>
    </row>
    <row r="121" spans="1:3" x14ac:dyDescent="0.2">
      <c r="A121" s="25" t="s">
        <v>347</v>
      </c>
      <c r="B121" s="25" t="s">
        <v>346</v>
      </c>
      <c r="C121" s="25" t="s">
        <v>345</v>
      </c>
    </row>
    <row r="122" spans="1:3" x14ac:dyDescent="0.2">
      <c r="A122" s="25" t="s">
        <v>59</v>
      </c>
      <c r="B122" s="25" t="s">
        <v>344</v>
      </c>
      <c r="C122" s="25" t="s">
        <v>343</v>
      </c>
    </row>
    <row r="123" spans="1:3" x14ac:dyDescent="0.2">
      <c r="A123" s="25" t="s">
        <v>340</v>
      </c>
      <c r="B123" s="25" t="s">
        <v>342</v>
      </c>
      <c r="C123" s="25" t="s">
        <v>341</v>
      </c>
    </row>
    <row r="124" spans="1:3" x14ac:dyDescent="0.2">
      <c r="A124" s="25" t="s">
        <v>340</v>
      </c>
      <c r="B124" s="25" t="s">
        <v>339</v>
      </c>
      <c r="C124" s="25" t="s">
        <v>338</v>
      </c>
    </row>
    <row r="125" spans="1:3" x14ac:dyDescent="0.2">
      <c r="A125" s="25" t="s">
        <v>59</v>
      </c>
      <c r="B125" s="25" t="s">
        <v>337</v>
      </c>
      <c r="C125" s="25" t="s">
        <v>336</v>
      </c>
    </row>
    <row r="126" spans="1:3" x14ac:dyDescent="0.2">
      <c r="A126" s="25" t="s">
        <v>59</v>
      </c>
      <c r="B126" s="25" t="s">
        <v>335</v>
      </c>
      <c r="C126" s="25" t="s">
        <v>4</v>
      </c>
    </row>
    <row r="127" spans="1:3" x14ac:dyDescent="0.2">
      <c r="A127" s="25" t="s">
        <v>59</v>
      </c>
      <c r="B127" s="25" t="s">
        <v>334</v>
      </c>
      <c r="C127" s="25" t="s">
        <v>333</v>
      </c>
    </row>
    <row r="128" spans="1:3" x14ac:dyDescent="0.2">
      <c r="A128" s="25" t="s">
        <v>59</v>
      </c>
      <c r="B128" s="25" t="s">
        <v>332</v>
      </c>
      <c r="C128" s="25" t="s">
        <v>331</v>
      </c>
    </row>
    <row r="129" spans="1:3" x14ac:dyDescent="0.2">
      <c r="A129" s="25" t="s">
        <v>59</v>
      </c>
      <c r="B129" s="25" t="s">
        <v>330</v>
      </c>
      <c r="C129" s="25" t="s">
        <v>329</v>
      </c>
    </row>
    <row r="130" spans="1:3" x14ac:dyDescent="0.2">
      <c r="A130" s="25" t="s">
        <v>59</v>
      </c>
      <c r="B130" s="25" t="s">
        <v>328</v>
      </c>
      <c r="C130" s="25" t="s">
        <v>327</v>
      </c>
    </row>
    <row r="131" spans="1:3" x14ac:dyDescent="0.2">
      <c r="A131" s="25" t="s">
        <v>59</v>
      </c>
      <c r="B131" s="25" t="s">
        <v>326</v>
      </c>
      <c r="C131" s="25" t="s">
        <v>325</v>
      </c>
    </row>
    <row r="132" spans="1:3" x14ac:dyDescent="0.2">
      <c r="A132" s="25" t="s">
        <v>59</v>
      </c>
      <c r="B132" s="25" t="s">
        <v>324</v>
      </c>
      <c r="C132" s="25" t="s">
        <v>323</v>
      </c>
    </row>
    <row r="133" spans="1:3" x14ac:dyDescent="0.2">
      <c r="A133" s="25" t="s">
        <v>59</v>
      </c>
      <c r="B133" s="25" t="s">
        <v>322</v>
      </c>
      <c r="C133" s="25" t="s">
        <v>321</v>
      </c>
    </row>
    <row r="134" spans="1:3" x14ac:dyDescent="0.2">
      <c r="A134" s="25" t="s">
        <v>59</v>
      </c>
      <c r="B134" s="25" t="s">
        <v>320</v>
      </c>
      <c r="C134" s="25" t="s">
        <v>319</v>
      </c>
    </row>
    <row r="135" spans="1:3" x14ac:dyDescent="0.2">
      <c r="A135" s="25" t="s">
        <v>59</v>
      </c>
      <c r="B135" s="25" t="s">
        <v>318</v>
      </c>
      <c r="C135" s="25" t="s">
        <v>317</v>
      </c>
    </row>
    <row r="136" spans="1:3" x14ac:dyDescent="0.2">
      <c r="A136" s="25" t="s">
        <v>59</v>
      </c>
      <c r="B136" s="25" t="s">
        <v>316</v>
      </c>
      <c r="C136" s="25" t="s">
        <v>315</v>
      </c>
    </row>
    <row r="137" spans="1:3" x14ac:dyDescent="0.2">
      <c r="A137" s="25" t="s">
        <v>59</v>
      </c>
      <c r="B137" s="25" t="s">
        <v>314</v>
      </c>
      <c r="C137" s="25" t="s">
        <v>313</v>
      </c>
    </row>
    <row r="138" spans="1:3" x14ac:dyDescent="0.2">
      <c r="A138" s="25" t="s">
        <v>59</v>
      </c>
      <c r="B138" s="25" t="s">
        <v>312</v>
      </c>
      <c r="C138" s="25" t="s">
        <v>311</v>
      </c>
    </row>
    <row r="139" spans="1:3" x14ac:dyDescent="0.2">
      <c r="A139" s="25" t="s">
        <v>59</v>
      </c>
      <c r="B139" s="25" t="s">
        <v>310</v>
      </c>
      <c r="C139" s="25" t="s">
        <v>309</v>
      </c>
    </row>
    <row r="140" spans="1:3" x14ac:dyDescent="0.2">
      <c r="A140" s="25" t="s">
        <v>59</v>
      </c>
      <c r="B140" s="25" t="s">
        <v>308</v>
      </c>
      <c r="C140" s="25" t="s">
        <v>307</v>
      </c>
    </row>
    <row r="141" spans="1:3" x14ac:dyDescent="0.2">
      <c r="A141" s="25" t="s">
        <v>59</v>
      </c>
      <c r="B141" s="25" t="s">
        <v>306</v>
      </c>
      <c r="C141" s="25" t="s">
        <v>305</v>
      </c>
    </row>
    <row r="142" spans="1:3" x14ac:dyDescent="0.2">
      <c r="A142" s="25" t="s">
        <v>59</v>
      </c>
      <c r="B142" s="25" t="s">
        <v>304</v>
      </c>
      <c r="C142" s="25" t="s">
        <v>303</v>
      </c>
    </row>
    <row r="143" spans="1:3" x14ac:dyDescent="0.2">
      <c r="A143" s="25" t="s">
        <v>59</v>
      </c>
      <c r="B143" s="25" t="s">
        <v>302</v>
      </c>
      <c r="C143" s="25" t="s">
        <v>301</v>
      </c>
    </row>
    <row r="144" spans="1:3" x14ac:dyDescent="0.2">
      <c r="A144" s="25" t="s">
        <v>59</v>
      </c>
      <c r="B144" s="25" t="s">
        <v>300</v>
      </c>
      <c r="C144" s="25" t="s">
        <v>299</v>
      </c>
    </row>
    <row r="145" spans="1:3" x14ac:dyDescent="0.2">
      <c r="A145" s="25" t="s">
        <v>59</v>
      </c>
      <c r="B145" s="25" t="s">
        <v>298</v>
      </c>
      <c r="C145" s="25" t="s">
        <v>297</v>
      </c>
    </row>
    <row r="146" spans="1:3" x14ac:dyDescent="0.2">
      <c r="A146" s="25" t="s">
        <v>59</v>
      </c>
      <c r="B146" s="25" t="s">
        <v>296</v>
      </c>
      <c r="C146" s="25" t="s">
        <v>295</v>
      </c>
    </row>
    <row r="147" spans="1:3" x14ac:dyDescent="0.2">
      <c r="A147" s="25" t="s">
        <v>59</v>
      </c>
      <c r="B147" s="25" t="s">
        <v>294</v>
      </c>
      <c r="C147" s="25" t="s">
        <v>293</v>
      </c>
    </row>
    <row r="148" spans="1:3" x14ac:dyDescent="0.2">
      <c r="A148" s="25" t="s">
        <v>59</v>
      </c>
      <c r="B148" s="25" t="s">
        <v>292</v>
      </c>
      <c r="C148" s="25" t="s">
        <v>291</v>
      </c>
    </row>
    <row r="149" spans="1:3" x14ac:dyDescent="0.2">
      <c r="A149" s="25" t="s">
        <v>59</v>
      </c>
      <c r="B149" s="25" t="s">
        <v>290</v>
      </c>
      <c r="C149" s="25" t="s">
        <v>175</v>
      </c>
    </row>
    <row r="150" spans="1:3" x14ac:dyDescent="0.2">
      <c r="A150" s="25" t="s">
        <v>59</v>
      </c>
      <c r="B150" s="25" t="s">
        <v>289</v>
      </c>
      <c r="C150" s="25" t="s">
        <v>288</v>
      </c>
    </row>
    <row r="151" spans="1:3" x14ac:dyDescent="0.2">
      <c r="A151" s="25" t="s">
        <v>59</v>
      </c>
      <c r="B151" s="25" t="s">
        <v>287</v>
      </c>
      <c r="C151" s="25" t="s">
        <v>286</v>
      </c>
    </row>
    <row r="152" spans="1:3" x14ac:dyDescent="0.2">
      <c r="A152" s="25" t="s">
        <v>59</v>
      </c>
      <c r="B152" s="25" t="s">
        <v>285</v>
      </c>
      <c r="C152" s="25" t="s">
        <v>284</v>
      </c>
    </row>
    <row r="153" spans="1:3" x14ac:dyDescent="0.2">
      <c r="A153" s="25" t="s">
        <v>59</v>
      </c>
      <c r="B153" s="25" t="s">
        <v>283</v>
      </c>
      <c r="C153" s="25" t="s">
        <v>282</v>
      </c>
    </row>
    <row r="154" spans="1:3" x14ac:dyDescent="0.2">
      <c r="A154" s="25" t="s">
        <v>59</v>
      </c>
      <c r="B154" s="25" t="s">
        <v>281</v>
      </c>
      <c r="C154" s="25" t="s">
        <v>8</v>
      </c>
    </row>
    <row r="155" spans="1:3" x14ac:dyDescent="0.2">
      <c r="A155" s="25" t="s">
        <v>59</v>
      </c>
      <c r="B155" s="25" t="s">
        <v>280</v>
      </c>
      <c r="C155" s="25" t="s">
        <v>279</v>
      </c>
    </row>
    <row r="156" spans="1:3" x14ac:dyDescent="0.2">
      <c r="A156" s="25" t="s">
        <v>59</v>
      </c>
      <c r="B156" s="25" t="s">
        <v>278</v>
      </c>
      <c r="C156" s="25" t="s">
        <v>277</v>
      </c>
    </row>
    <row r="157" spans="1:3" x14ac:dyDescent="0.2">
      <c r="A157" s="25" t="s">
        <v>59</v>
      </c>
      <c r="B157" s="25" t="s">
        <v>276</v>
      </c>
      <c r="C157" s="25" t="s">
        <v>144</v>
      </c>
    </row>
    <row r="158" spans="1:3" x14ac:dyDescent="0.2">
      <c r="A158" s="25" t="s">
        <v>59</v>
      </c>
      <c r="B158" s="25" t="s">
        <v>275</v>
      </c>
      <c r="C158" s="25" t="s">
        <v>142</v>
      </c>
    </row>
    <row r="159" spans="1:3" x14ac:dyDescent="0.2">
      <c r="A159" s="25" t="s">
        <v>59</v>
      </c>
      <c r="B159" s="25" t="s">
        <v>274</v>
      </c>
      <c r="C159" s="25" t="s">
        <v>273</v>
      </c>
    </row>
    <row r="160" spans="1:3" x14ac:dyDescent="0.2">
      <c r="A160" s="25" t="s">
        <v>59</v>
      </c>
      <c r="B160" s="25" t="s">
        <v>272</v>
      </c>
      <c r="C160" s="25" t="s">
        <v>271</v>
      </c>
    </row>
    <row r="161" spans="1:3" x14ac:dyDescent="0.2">
      <c r="A161" s="25" t="s">
        <v>59</v>
      </c>
      <c r="B161" s="25" t="s">
        <v>270</v>
      </c>
      <c r="C161" s="25" t="s">
        <v>269</v>
      </c>
    </row>
    <row r="162" spans="1:3" x14ac:dyDescent="0.2">
      <c r="A162" s="25" t="s">
        <v>59</v>
      </c>
      <c r="B162" s="25" t="s">
        <v>268</v>
      </c>
      <c r="C162" s="25" t="s">
        <v>267</v>
      </c>
    </row>
    <row r="163" spans="1:3" x14ac:dyDescent="0.2">
      <c r="A163" s="25" t="s">
        <v>59</v>
      </c>
      <c r="B163" s="25" t="s">
        <v>266</v>
      </c>
      <c r="C163" s="25" t="s">
        <v>265</v>
      </c>
    </row>
    <row r="164" spans="1:3" x14ac:dyDescent="0.2">
      <c r="A164" s="25" t="s">
        <v>59</v>
      </c>
      <c r="B164" s="25" t="s">
        <v>264</v>
      </c>
      <c r="C164" s="25" t="s">
        <v>263</v>
      </c>
    </row>
    <row r="165" spans="1:3" x14ac:dyDescent="0.2">
      <c r="A165" s="25" t="s">
        <v>59</v>
      </c>
      <c r="B165" s="25" t="s">
        <v>262</v>
      </c>
      <c r="C165" s="25" t="s">
        <v>261</v>
      </c>
    </row>
    <row r="166" spans="1:3" x14ac:dyDescent="0.2">
      <c r="A166" s="25" t="s">
        <v>59</v>
      </c>
      <c r="B166" s="25" t="s">
        <v>260</v>
      </c>
      <c r="C166" s="25" t="s">
        <v>259</v>
      </c>
    </row>
    <row r="167" spans="1:3" x14ac:dyDescent="0.2">
      <c r="A167" s="25" t="s">
        <v>59</v>
      </c>
      <c r="B167" s="25" t="s">
        <v>258</v>
      </c>
      <c r="C167" s="25" t="s">
        <v>257</v>
      </c>
    </row>
    <row r="168" spans="1:3" x14ac:dyDescent="0.2">
      <c r="A168" s="25" t="s">
        <v>59</v>
      </c>
      <c r="B168" s="25" t="s">
        <v>256</v>
      </c>
      <c r="C168" s="25" t="s">
        <v>136</v>
      </c>
    </row>
    <row r="169" spans="1:3" x14ac:dyDescent="0.2">
      <c r="A169" s="25" t="s">
        <v>59</v>
      </c>
      <c r="B169" s="25" t="s">
        <v>255</v>
      </c>
      <c r="C169" s="25" t="s">
        <v>254</v>
      </c>
    </row>
    <row r="170" spans="1:3" x14ac:dyDescent="0.2">
      <c r="A170" s="25" t="s">
        <v>59</v>
      </c>
      <c r="B170" s="25" t="s">
        <v>253</v>
      </c>
      <c r="C170" s="25" t="s">
        <v>252</v>
      </c>
    </row>
    <row r="171" spans="1:3" x14ac:dyDescent="0.2">
      <c r="A171" s="25" t="s">
        <v>59</v>
      </c>
      <c r="B171" s="25" t="s">
        <v>251</v>
      </c>
      <c r="C171" s="25" t="s">
        <v>250</v>
      </c>
    </row>
    <row r="172" spans="1:3" x14ac:dyDescent="0.2">
      <c r="A172" s="25" t="s">
        <v>59</v>
      </c>
      <c r="B172" s="25" t="s">
        <v>249</v>
      </c>
      <c r="C172" s="25" t="s">
        <v>248</v>
      </c>
    </row>
    <row r="173" spans="1:3" x14ac:dyDescent="0.2">
      <c r="A173" s="25" t="s">
        <v>59</v>
      </c>
      <c r="B173" s="25" t="s">
        <v>247</v>
      </c>
      <c r="C173" s="25" t="s">
        <v>246</v>
      </c>
    </row>
    <row r="174" spans="1:3" x14ac:dyDescent="0.2">
      <c r="A174" s="25" t="s">
        <v>59</v>
      </c>
      <c r="B174" s="25" t="s">
        <v>245</v>
      </c>
      <c r="C174" s="25" t="s">
        <v>244</v>
      </c>
    </row>
    <row r="175" spans="1:3" x14ac:dyDescent="0.2">
      <c r="A175" s="25" t="s">
        <v>59</v>
      </c>
      <c r="B175" s="25" t="s">
        <v>243</v>
      </c>
      <c r="C175" s="25" t="s">
        <v>242</v>
      </c>
    </row>
    <row r="176" spans="1:3" x14ac:dyDescent="0.2">
      <c r="A176" s="25" t="s">
        <v>59</v>
      </c>
      <c r="B176" s="25" t="s">
        <v>241</v>
      </c>
      <c r="C176" s="25" t="s">
        <v>240</v>
      </c>
    </row>
    <row r="177" spans="1:3" x14ac:dyDescent="0.2">
      <c r="A177" s="25" t="s">
        <v>59</v>
      </c>
      <c r="B177" s="25" t="s">
        <v>239</v>
      </c>
      <c r="C177" s="25" t="s">
        <v>175</v>
      </c>
    </row>
    <row r="178" spans="1:3" x14ac:dyDescent="0.2">
      <c r="A178" s="25" t="s">
        <v>59</v>
      </c>
      <c r="B178" s="25" t="s">
        <v>238</v>
      </c>
      <c r="C178" s="25" t="s">
        <v>237</v>
      </c>
    </row>
    <row r="179" spans="1:3" x14ac:dyDescent="0.2">
      <c r="A179" s="25" t="s">
        <v>59</v>
      </c>
      <c r="B179" s="25" t="s">
        <v>236</v>
      </c>
      <c r="C179" s="25" t="s">
        <v>235</v>
      </c>
    </row>
    <row r="180" spans="1:3" x14ac:dyDescent="0.2">
      <c r="A180" s="25" t="s">
        <v>59</v>
      </c>
      <c r="B180" s="25" t="s">
        <v>234</v>
      </c>
      <c r="C180" s="25" t="s">
        <v>233</v>
      </c>
    </row>
    <row r="181" spans="1:3" x14ac:dyDescent="0.2">
      <c r="A181" s="25" t="s">
        <v>59</v>
      </c>
      <c r="B181" s="25" t="s">
        <v>232</v>
      </c>
      <c r="C181" s="25" t="s">
        <v>231</v>
      </c>
    </row>
    <row r="182" spans="1:3" x14ac:dyDescent="0.2">
      <c r="A182" s="25" t="s">
        <v>59</v>
      </c>
      <c r="B182" s="25" t="s">
        <v>230</v>
      </c>
      <c r="C182" s="25" t="s">
        <v>229</v>
      </c>
    </row>
    <row r="183" spans="1:3" x14ac:dyDescent="0.2">
      <c r="A183" s="25" t="s">
        <v>59</v>
      </c>
      <c r="B183" s="25" t="s">
        <v>228</v>
      </c>
      <c r="C183" s="25" t="s">
        <v>227</v>
      </c>
    </row>
    <row r="184" spans="1:3" x14ac:dyDescent="0.2">
      <c r="A184" s="25" t="s">
        <v>59</v>
      </c>
      <c r="B184" s="25" t="s">
        <v>226</v>
      </c>
      <c r="C184" s="25" t="s">
        <v>225</v>
      </c>
    </row>
    <row r="185" spans="1:3" x14ac:dyDescent="0.2">
      <c r="A185" s="25" t="s">
        <v>59</v>
      </c>
      <c r="B185" s="25" t="s">
        <v>224</v>
      </c>
      <c r="C185" s="25" t="s">
        <v>223</v>
      </c>
    </row>
    <row r="186" spans="1:3" x14ac:dyDescent="0.2">
      <c r="A186" s="25" t="s">
        <v>59</v>
      </c>
      <c r="B186" s="25" t="s">
        <v>222</v>
      </c>
      <c r="C186" s="25" t="s">
        <v>221</v>
      </c>
    </row>
    <row r="187" spans="1:3" x14ac:dyDescent="0.2">
      <c r="A187" s="25" t="s">
        <v>59</v>
      </c>
      <c r="B187" s="25" t="s">
        <v>220</v>
      </c>
      <c r="C187" s="25" t="s">
        <v>219</v>
      </c>
    </row>
    <row r="188" spans="1:3" x14ac:dyDescent="0.2">
      <c r="A188" s="25" t="s">
        <v>59</v>
      </c>
      <c r="B188" s="25" t="s">
        <v>218</v>
      </c>
      <c r="C188" s="25" t="s">
        <v>217</v>
      </c>
    </row>
    <row r="189" spans="1:3" x14ac:dyDescent="0.2">
      <c r="A189" s="25" t="s">
        <v>59</v>
      </c>
      <c r="B189" s="25" t="s">
        <v>216</v>
      </c>
      <c r="C189" s="25" t="s">
        <v>215</v>
      </c>
    </row>
    <row r="190" spans="1:3" x14ac:dyDescent="0.2">
      <c r="A190" s="25" t="s">
        <v>59</v>
      </c>
      <c r="B190" s="25" t="s">
        <v>214</v>
      </c>
      <c r="C190" s="25" t="s">
        <v>213</v>
      </c>
    </row>
    <row r="191" spans="1:3" x14ac:dyDescent="0.2">
      <c r="A191" s="25" t="s">
        <v>59</v>
      </c>
      <c r="B191" s="25" t="s">
        <v>212</v>
      </c>
      <c r="C191" s="25" t="s">
        <v>211</v>
      </c>
    </row>
    <row r="192" spans="1:3" x14ac:dyDescent="0.2">
      <c r="A192" s="25" t="s">
        <v>59</v>
      </c>
      <c r="B192" s="25" t="s">
        <v>210</v>
      </c>
      <c r="C192" s="25" t="s">
        <v>209</v>
      </c>
    </row>
    <row r="193" spans="1:3" x14ac:dyDescent="0.2">
      <c r="A193" s="25" t="s">
        <v>59</v>
      </c>
      <c r="B193" s="25" t="s">
        <v>208</v>
      </c>
      <c r="C193" s="25" t="s">
        <v>207</v>
      </c>
    </row>
    <row r="194" spans="1:3" x14ac:dyDescent="0.2">
      <c r="A194" s="25" t="s">
        <v>59</v>
      </c>
      <c r="B194" s="25" t="s">
        <v>206</v>
      </c>
      <c r="C194" s="25" t="s">
        <v>205</v>
      </c>
    </row>
    <row r="195" spans="1:3" x14ac:dyDescent="0.2">
      <c r="A195" s="25" t="s">
        <v>59</v>
      </c>
      <c r="B195" s="25" t="s">
        <v>204</v>
      </c>
      <c r="C195" s="25" t="s">
        <v>203</v>
      </c>
    </row>
    <row r="196" spans="1:3" x14ac:dyDescent="0.2">
      <c r="A196" s="25" t="s">
        <v>59</v>
      </c>
      <c r="B196" s="25" t="s">
        <v>202</v>
      </c>
      <c r="C196" s="25" t="s">
        <v>120</v>
      </c>
    </row>
    <row r="197" spans="1:3" x14ac:dyDescent="0.2">
      <c r="A197" s="25" t="s">
        <v>59</v>
      </c>
      <c r="B197" s="25" t="s">
        <v>201</v>
      </c>
      <c r="C197" s="25" t="s">
        <v>200</v>
      </c>
    </row>
    <row r="198" spans="1:3" x14ac:dyDescent="0.2">
      <c r="A198" s="25" t="s">
        <v>59</v>
      </c>
      <c r="B198" s="25" t="s">
        <v>199</v>
      </c>
      <c r="C198" s="25" t="s">
        <v>118</v>
      </c>
    </row>
    <row r="199" spans="1:3" x14ac:dyDescent="0.2">
      <c r="A199" s="25" t="s">
        <v>59</v>
      </c>
      <c r="B199" s="25" t="s">
        <v>198</v>
      </c>
      <c r="C199" s="25" t="s">
        <v>197</v>
      </c>
    </row>
    <row r="200" spans="1:3" x14ac:dyDescent="0.2">
      <c r="A200" s="25" t="s">
        <v>59</v>
      </c>
      <c r="B200" s="25" t="s">
        <v>196</v>
      </c>
      <c r="C200" s="25" t="s">
        <v>195</v>
      </c>
    </row>
    <row r="201" spans="1:3" x14ac:dyDescent="0.2">
      <c r="A201" s="25" t="s">
        <v>59</v>
      </c>
      <c r="B201" s="25" t="s">
        <v>194</v>
      </c>
      <c r="C201" s="25" t="s">
        <v>193</v>
      </c>
    </row>
    <row r="202" spans="1:3" x14ac:dyDescent="0.2">
      <c r="A202" s="25" t="s">
        <v>59</v>
      </c>
      <c r="B202" s="25" t="s">
        <v>192</v>
      </c>
      <c r="C202" s="25" t="s">
        <v>191</v>
      </c>
    </row>
    <row r="203" spans="1:3" x14ac:dyDescent="0.2">
      <c r="A203" s="25" t="s">
        <v>59</v>
      </c>
      <c r="B203" s="25" t="s">
        <v>190</v>
      </c>
      <c r="C203" s="25" t="s">
        <v>189</v>
      </c>
    </row>
    <row r="204" spans="1:3" x14ac:dyDescent="0.2">
      <c r="A204" s="25" t="s">
        <v>59</v>
      </c>
      <c r="B204" s="25" t="s">
        <v>188</v>
      </c>
      <c r="C204" s="25" t="s">
        <v>114</v>
      </c>
    </row>
    <row r="205" spans="1:3" x14ac:dyDescent="0.2">
      <c r="A205" s="25" t="s">
        <v>59</v>
      </c>
      <c r="B205" s="25" t="s">
        <v>187</v>
      </c>
      <c r="C205" s="25" t="s">
        <v>186</v>
      </c>
    </row>
    <row r="206" spans="1:3" x14ac:dyDescent="0.2">
      <c r="A206" s="25" t="s">
        <v>59</v>
      </c>
      <c r="B206" s="25" t="s">
        <v>185</v>
      </c>
      <c r="C206" s="25" t="s">
        <v>184</v>
      </c>
    </row>
    <row r="207" spans="1:3" x14ac:dyDescent="0.2">
      <c r="A207" s="25" t="s">
        <v>59</v>
      </c>
      <c r="B207" s="25" t="s">
        <v>183</v>
      </c>
      <c r="C207" s="25" t="s">
        <v>182</v>
      </c>
    </row>
    <row r="208" spans="1:3" x14ac:dyDescent="0.2">
      <c r="A208" s="25" t="s">
        <v>59</v>
      </c>
      <c r="B208" s="25" t="s">
        <v>181</v>
      </c>
      <c r="C208" s="25" t="s">
        <v>180</v>
      </c>
    </row>
    <row r="209" spans="1:3" x14ac:dyDescent="0.2">
      <c r="A209" s="25" t="s">
        <v>59</v>
      </c>
      <c r="B209" s="25" t="s">
        <v>179</v>
      </c>
      <c r="C209" s="25" t="s">
        <v>106</v>
      </c>
    </row>
    <row r="210" spans="1:3" x14ac:dyDescent="0.2">
      <c r="A210" s="25" t="s">
        <v>59</v>
      </c>
      <c r="B210" s="25" t="s">
        <v>178</v>
      </c>
      <c r="C210" s="25" t="s">
        <v>177</v>
      </c>
    </row>
    <row r="211" spans="1:3" x14ac:dyDescent="0.2">
      <c r="A211" s="25" t="s">
        <v>59</v>
      </c>
      <c r="B211" s="25" t="s">
        <v>176</v>
      </c>
      <c r="C211" s="25" t="s">
        <v>175</v>
      </c>
    </row>
    <row r="212" spans="1:3" x14ac:dyDescent="0.2">
      <c r="A212" s="25" t="s">
        <v>59</v>
      </c>
      <c r="B212" s="25" t="s">
        <v>174</v>
      </c>
      <c r="C212" s="25" t="s">
        <v>110</v>
      </c>
    </row>
    <row r="213" spans="1:3" x14ac:dyDescent="0.2">
      <c r="A213" s="25" t="s">
        <v>59</v>
      </c>
      <c r="B213" s="25" t="s">
        <v>173</v>
      </c>
      <c r="C213" s="25" t="s">
        <v>172</v>
      </c>
    </row>
    <row r="214" spans="1:3" x14ac:dyDescent="0.2">
      <c r="A214" s="25" t="s">
        <v>59</v>
      </c>
      <c r="B214" s="25" t="s">
        <v>171</v>
      </c>
      <c r="C214" s="25" t="s">
        <v>170</v>
      </c>
    </row>
    <row r="215" spans="1:3" x14ac:dyDescent="0.2">
      <c r="A215" s="25" t="s">
        <v>59</v>
      </c>
      <c r="B215" s="25" t="s">
        <v>169</v>
      </c>
      <c r="C215" s="25" t="s">
        <v>168</v>
      </c>
    </row>
    <row r="216" spans="1:3" x14ac:dyDescent="0.2">
      <c r="A216" s="25" t="s">
        <v>59</v>
      </c>
      <c r="B216" s="25" t="s">
        <v>167</v>
      </c>
      <c r="C216" s="25" t="s">
        <v>166</v>
      </c>
    </row>
    <row r="217" spans="1:3" x14ac:dyDescent="0.2">
      <c r="A217" s="25" t="s">
        <v>59</v>
      </c>
      <c r="B217" s="25" t="s">
        <v>165</v>
      </c>
      <c r="C217" s="25" t="s">
        <v>164</v>
      </c>
    </row>
    <row r="218" spans="1:3" x14ac:dyDescent="0.2">
      <c r="A218" s="25" t="s">
        <v>59</v>
      </c>
      <c r="B218" s="25" t="s">
        <v>163</v>
      </c>
      <c r="C218" s="25" t="s">
        <v>162</v>
      </c>
    </row>
    <row r="219" spans="1:3" x14ac:dyDescent="0.2">
      <c r="A219" s="25" t="s">
        <v>59</v>
      </c>
      <c r="B219" s="25" t="s">
        <v>161</v>
      </c>
      <c r="C219" s="25" t="s">
        <v>160</v>
      </c>
    </row>
    <row r="220" spans="1:3" x14ac:dyDescent="0.2">
      <c r="A220" s="25" t="s">
        <v>59</v>
      </c>
      <c r="B220" s="25" t="s">
        <v>159</v>
      </c>
      <c r="C220" s="25" t="s">
        <v>158</v>
      </c>
    </row>
    <row r="221" spans="1:3" x14ac:dyDescent="0.2">
      <c r="A221" s="25" t="s">
        <v>59</v>
      </c>
      <c r="B221" s="25" t="s">
        <v>157</v>
      </c>
      <c r="C221" s="25" t="s">
        <v>156</v>
      </c>
    </row>
    <row r="222" spans="1:3" x14ac:dyDescent="0.2">
      <c r="A222" s="25" t="s">
        <v>59</v>
      </c>
      <c r="B222" s="25" t="s">
        <v>155</v>
      </c>
      <c r="C222" s="25" t="s">
        <v>154</v>
      </c>
    </row>
    <row r="223" spans="1:3" x14ac:dyDescent="0.2">
      <c r="A223" s="25" t="s">
        <v>59</v>
      </c>
      <c r="B223" s="25" t="s">
        <v>153</v>
      </c>
      <c r="C223" s="25" t="s">
        <v>152</v>
      </c>
    </row>
    <row r="224" spans="1:3" x14ac:dyDescent="0.2">
      <c r="A224" s="25" t="s">
        <v>59</v>
      </c>
      <c r="B224" s="25" t="s">
        <v>151</v>
      </c>
      <c r="C224" s="25" t="s">
        <v>150</v>
      </c>
    </row>
    <row r="225" spans="1:3" x14ac:dyDescent="0.2">
      <c r="A225" s="25" t="s">
        <v>59</v>
      </c>
      <c r="B225" s="25" t="s">
        <v>149</v>
      </c>
      <c r="C225" s="25" t="s">
        <v>148</v>
      </c>
    </row>
    <row r="226" spans="1:3" x14ac:dyDescent="0.2">
      <c r="A226" s="25" t="s">
        <v>59</v>
      </c>
      <c r="B226" s="25" t="s">
        <v>147</v>
      </c>
      <c r="C226" s="25" t="s">
        <v>146</v>
      </c>
    </row>
    <row r="227" spans="1:3" x14ac:dyDescent="0.2">
      <c r="A227" s="25" t="s">
        <v>59</v>
      </c>
      <c r="B227" s="25" t="s">
        <v>145</v>
      </c>
      <c r="C227" s="25" t="s">
        <v>144</v>
      </c>
    </row>
    <row r="228" spans="1:3" x14ac:dyDescent="0.2">
      <c r="A228" s="25" t="s">
        <v>59</v>
      </c>
      <c r="B228" s="25" t="s">
        <v>143</v>
      </c>
      <c r="C228" s="25" t="s">
        <v>142</v>
      </c>
    </row>
    <row r="229" spans="1:3" x14ac:dyDescent="0.2">
      <c r="A229" s="25" t="s">
        <v>59</v>
      </c>
      <c r="B229" s="25" t="s">
        <v>141</v>
      </c>
      <c r="C229" s="25" t="s">
        <v>140</v>
      </c>
    </row>
    <row r="230" spans="1:3" x14ac:dyDescent="0.2">
      <c r="A230" s="25" t="s">
        <v>59</v>
      </c>
      <c r="B230" s="25" t="s">
        <v>139</v>
      </c>
      <c r="C230" s="25" t="s">
        <v>138</v>
      </c>
    </row>
    <row r="231" spans="1:3" x14ac:dyDescent="0.2">
      <c r="A231" s="25" t="s">
        <v>59</v>
      </c>
      <c r="B231" s="25" t="s">
        <v>137</v>
      </c>
      <c r="C231" s="25" t="s">
        <v>136</v>
      </c>
    </row>
    <row r="232" spans="1:3" x14ac:dyDescent="0.2">
      <c r="A232" s="25" t="s">
        <v>59</v>
      </c>
      <c r="B232" s="25" t="s">
        <v>135</v>
      </c>
      <c r="C232" s="25" t="s">
        <v>134</v>
      </c>
    </row>
    <row r="233" spans="1:3" x14ac:dyDescent="0.2">
      <c r="A233" s="25" t="s">
        <v>59</v>
      </c>
      <c r="B233" s="25" t="s">
        <v>133</v>
      </c>
      <c r="C233" s="25" t="s">
        <v>132</v>
      </c>
    </row>
    <row r="234" spans="1:3" x14ac:dyDescent="0.2">
      <c r="A234" s="25" t="s">
        <v>59</v>
      </c>
      <c r="B234" s="25" t="s">
        <v>131</v>
      </c>
      <c r="C234" s="25" t="s">
        <v>130</v>
      </c>
    </row>
    <row r="235" spans="1:3" x14ac:dyDescent="0.2">
      <c r="A235" s="25" t="s">
        <v>59</v>
      </c>
      <c r="B235" s="25" t="s">
        <v>129</v>
      </c>
      <c r="C235" s="25" t="s">
        <v>128</v>
      </c>
    </row>
    <row r="236" spans="1:3" x14ac:dyDescent="0.2">
      <c r="A236" s="25" t="s">
        <v>59</v>
      </c>
      <c r="B236" s="25" t="s">
        <v>127</v>
      </c>
      <c r="C236" s="25" t="s">
        <v>126</v>
      </c>
    </row>
    <row r="237" spans="1:3" x14ac:dyDescent="0.2">
      <c r="A237" s="25" t="s">
        <v>59</v>
      </c>
      <c r="B237" s="25" t="s">
        <v>125</v>
      </c>
      <c r="C237" s="25" t="s">
        <v>124</v>
      </c>
    </row>
    <row r="238" spans="1:3" x14ac:dyDescent="0.2">
      <c r="A238" s="25" t="s">
        <v>59</v>
      </c>
      <c r="B238" s="25" t="s">
        <v>123</v>
      </c>
      <c r="C238" s="25" t="s">
        <v>122</v>
      </c>
    </row>
    <row r="239" spans="1:3" x14ac:dyDescent="0.2">
      <c r="A239" s="25" t="s">
        <v>59</v>
      </c>
      <c r="B239" s="25" t="s">
        <v>121</v>
      </c>
      <c r="C239" s="25" t="s">
        <v>120</v>
      </c>
    </row>
    <row r="240" spans="1:3" x14ac:dyDescent="0.2">
      <c r="A240" s="25" t="s">
        <v>59</v>
      </c>
      <c r="B240" s="25" t="s">
        <v>119</v>
      </c>
      <c r="C240" s="25" t="s">
        <v>118</v>
      </c>
    </row>
    <row r="241" spans="1:3" x14ac:dyDescent="0.2">
      <c r="A241" s="25" t="s">
        <v>59</v>
      </c>
      <c r="B241" s="25" t="s">
        <v>117</v>
      </c>
      <c r="C241" s="25" t="s">
        <v>116</v>
      </c>
    </row>
    <row r="242" spans="1:3" x14ac:dyDescent="0.2">
      <c r="A242" s="25" t="s">
        <v>59</v>
      </c>
      <c r="B242" s="25" t="s">
        <v>115</v>
      </c>
      <c r="C242" s="25" t="s">
        <v>114</v>
      </c>
    </row>
    <row r="243" spans="1:3" x14ac:dyDescent="0.2">
      <c r="A243" s="25" t="s">
        <v>59</v>
      </c>
      <c r="B243" s="25" t="s">
        <v>113</v>
      </c>
      <c r="C243" s="25" t="s">
        <v>112</v>
      </c>
    </row>
    <row r="244" spans="1:3" x14ac:dyDescent="0.2">
      <c r="A244" s="25" t="s">
        <v>59</v>
      </c>
      <c r="B244" s="25" t="s">
        <v>111</v>
      </c>
      <c r="C244" s="25" t="s">
        <v>110</v>
      </c>
    </row>
    <row r="245" spans="1:3" x14ac:dyDescent="0.2">
      <c r="A245" s="25" t="s">
        <v>59</v>
      </c>
      <c r="B245" s="25" t="s">
        <v>109</v>
      </c>
      <c r="C245" s="25" t="s">
        <v>108</v>
      </c>
    </row>
    <row r="246" spans="1:3" x14ac:dyDescent="0.2">
      <c r="A246" s="25" t="s">
        <v>59</v>
      </c>
      <c r="B246" s="25" t="s">
        <v>107</v>
      </c>
      <c r="C246" s="25" t="s">
        <v>106</v>
      </c>
    </row>
    <row r="247" spans="1:3" x14ac:dyDescent="0.2">
      <c r="A247" s="25" t="s">
        <v>59</v>
      </c>
      <c r="B247" s="25" t="s">
        <v>105</v>
      </c>
      <c r="C247" s="25" t="s">
        <v>104</v>
      </c>
    </row>
    <row r="248" spans="1:3" x14ac:dyDescent="0.2">
      <c r="A248" s="25" t="s">
        <v>59</v>
      </c>
      <c r="B248" s="25" t="s">
        <v>103</v>
      </c>
      <c r="C248" s="25" t="s">
        <v>102</v>
      </c>
    </row>
    <row r="249" spans="1:3" x14ac:dyDescent="0.2">
      <c r="A249" s="25" t="s">
        <v>59</v>
      </c>
      <c r="B249" s="25" t="s">
        <v>101</v>
      </c>
      <c r="C249" s="25" t="s">
        <v>100</v>
      </c>
    </row>
    <row r="250" spans="1:3" x14ac:dyDescent="0.2">
      <c r="A250" s="25" t="s">
        <v>59</v>
      </c>
      <c r="B250" s="25" t="s">
        <v>99</v>
      </c>
      <c r="C250" s="25" t="s">
        <v>98</v>
      </c>
    </row>
    <row r="251" spans="1:3" x14ac:dyDescent="0.2">
      <c r="A251" s="25" t="s">
        <v>59</v>
      </c>
      <c r="B251" s="25" t="s">
        <v>97</v>
      </c>
      <c r="C251" s="25" t="s">
        <v>96</v>
      </c>
    </row>
    <row r="252" spans="1:3" x14ac:dyDescent="0.2">
      <c r="A252" s="25" t="s">
        <v>59</v>
      </c>
      <c r="B252" s="25" t="s">
        <v>95</v>
      </c>
      <c r="C252" s="25" t="s">
        <v>94</v>
      </c>
    </row>
    <row r="253" spans="1:3" x14ac:dyDescent="0.2">
      <c r="A253" s="25" t="s">
        <v>59</v>
      </c>
      <c r="B253" s="25" t="s">
        <v>93</v>
      </c>
      <c r="C253" s="25" t="s">
        <v>92</v>
      </c>
    </row>
    <row r="254" spans="1:3" x14ac:dyDescent="0.2">
      <c r="A254" s="25" t="s">
        <v>59</v>
      </c>
      <c r="B254" s="25" t="s">
        <v>91</v>
      </c>
      <c r="C254" s="25" t="s">
        <v>90</v>
      </c>
    </row>
    <row r="255" spans="1:3" x14ac:dyDescent="0.2">
      <c r="A255" s="25" t="s">
        <v>59</v>
      </c>
      <c r="B255" s="25" t="s">
        <v>89</v>
      </c>
      <c r="C255" s="25" t="s">
        <v>88</v>
      </c>
    </row>
    <row r="256" spans="1:3" x14ac:dyDescent="0.2">
      <c r="A256" s="25" t="s">
        <v>59</v>
      </c>
      <c r="B256" s="25" t="s">
        <v>87</v>
      </c>
      <c r="C256" s="25" t="s">
        <v>86</v>
      </c>
    </row>
    <row r="257" spans="1:3" x14ac:dyDescent="0.2">
      <c r="A257" s="25" t="s">
        <v>59</v>
      </c>
      <c r="B257" s="25" t="s">
        <v>85</v>
      </c>
      <c r="C257" s="25" t="s">
        <v>84</v>
      </c>
    </row>
    <row r="258" spans="1:3" x14ac:dyDescent="0.2">
      <c r="A258" s="25" t="s">
        <v>59</v>
      </c>
      <c r="B258" s="25" t="s">
        <v>83</v>
      </c>
      <c r="C258" s="25" t="s">
        <v>82</v>
      </c>
    </row>
    <row r="259" spans="1:3" x14ac:dyDescent="0.2">
      <c r="A259" s="25" t="s">
        <v>59</v>
      </c>
      <c r="B259" s="25" t="s">
        <v>81</v>
      </c>
      <c r="C259" s="25" t="s">
        <v>80</v>
      </c>
    </row>
    <row r="260" spans="1:3" x14ac:dyDescent="0.2">
      <c r="A260" s="25" t="s">
        <v>59</v>
      </c>
      <c r="B260" s="25" t="s">
        <v>79</v>
      </c>
      <c r="C260" s="25" t="s">
        <v>78</v>
      </c>
    </row>
    <row r="261" spans="1:3" x14ac:dyDescent="0.2">
      <c r="A261" s="25" t="s">
        <v>59</v>
      </c>
      <c r="B261" s="25" t="s">
        <v>77</v>
      </c>
      <c r="C261" s="25" t="s">
        <v>76</v>
      </c>
    </row>
    <row r="262" spans="1:3" x14ac:dyDescent="0.2">
      <c r="A262" s="25" t="s">
        <v>59</v>
      </c>
      <c r="B262" s="25" t="s">
        <v>75</v>
      </c>
      <c r="C262" s="25" t="s">
        <v>74</v>
      </c>
    </row>
    <row r="263" spans="1:3" x14ac:dyDescent="0.2">
      <c r="A263" s="25" t="s">
        <v>59</v>
      </c>
      <c r="B263" s="25" t="s">
        <v>73</v>
      </c>
      <c r="C263" s="25" t="s">
        <v>72</v>
      </c>
    </row>
    <row r="264" spans="1:3" x14ac:dyDescent="0.2">
      <c r="A264" s="25" t="s">
        <v>59</v>
      </c>
      <c r="B264" s="25" t="s">
        <v>71</v>
      </c>
      <c r="C264" s="25" t="s">
        <v>70</v>
      </c>
    </row>
    <row r="265" spans="1:3" x14ac:dyDescent="0.2">
      <c r="A265" s="25" t="s">
        <v>59</v>
      </c>
      <c r="B265" s="25" t="s">
        <v>69</v>
      </c>
      <c r="C265" s="25" t="s">
        <v>68</v>
      </c>
    </row>
    <row r="266" spans="1:3" x14ac:dyDescent="0.2">
      <c r="A266" s="25" t="s">
        <v>59</v>
      </c>
      <c r="B266" s="25" t="s">
        <v>67</v>
      </c>
      <c r="C266" s="25" t="s">
        <v>66</v>
      </c>
    </row>
    <row r="267" spans="1:3" x14ac:dyDescent="0.2">
      <c r="A267" s="25" t="s">
        <v>59</v>
      </c>
      <c r="B267" s="25" t="s">
        <v>65</v>
      </c>
      <c r="C267" s="25" t="s">
        <v>64</v>
      </c>
    </row>
    <row r="268" spans="1:3" x14ac:dyDescent="0.2">
      <c r="A268" s="25" t="s">
        <v>59</v>
      </c>
      <c r="B268" s="25" t="s">
        <v>63</v>
      </c>
      <c r="C268" s="25" t="s">
        <v>62</v>
      </c>
    </row>
    <row r="269" spans="1:3" x14ac:dyDescent="0.2">
      <c r="A269" s="25" t="s">
        <v>59</v>
      </c>
      <c r="B269" s="25" t="s">
        <v>61</v>
      </c>
      <c r="C269" s="25" t="s">
        <v>60</v>
      </c>
    </row>
    <row r="270" spans="1:3" x14ac:dyDescent="0.2">
      <c r="A270" s="25" t="s">
        <v>59</v>
      </c>
      <c r="B270" s="25" t="s">
        <v>58</v>
      </c>
      <c r="C270" s="25" t="s">
        <v>57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showGridLines="0" zoomScale="130" zoomScaleNormal="130" workbookViewId="0">
      <selection activeCell="D24" sqref="D24"/>
    </sheetView>
  </sheetViews>
  <sheetFormatPr baseColWidth="10" defaultColWidth="11.44140625" defaultRowHeight="14.4" x14ac:dyDescent="0.3"/>
  <cols>
    <col min="1" max="1" width="2.33203125" customWidth="1"/>
    <col min="3" max="3" width="15.88671875" customWidth="1"/>
    <col min="4" max="4" width="11.44140625" style="6"/>
  </cols>
  <sheetData>
    <row r="1" spans="1:5" x14ac:dyDescent="0.3">
      <c r="A1" s="2" t="s">
        <v>586</v>
      </c>
    </row>
    <row r="2" spans="1:5" x14ac:dyDescent="0.3">
      <c r="A2" s="55" t="s">
        <v>18</v>
      </c>
      <c r="B2" s="55"/>
      <c r="C2" s="55"/>
      <c r="D2" s="55"/>
      <c r="E2" s="55"/>
    </row>
    <row r="3" spans="1:5" x14ac:dyDescent="0.3">
      <c r="A3" s="55" t="s">
        <v>587</v>
      </c>
      <c r="B3" s="55"/>
      <c r="C3" s="55"/>
      <c r="D3" s="55"/>
      <c r="E3" s="55"/>
    </row>
    <row r="4" spans="1:5" x14ac:dyDescent="0.3">
      <c r="A4" s="55" t="s">
        <v>19</v>
      </c>
      <c r="B4" s="55"/>
      <c r="C4" s="55"/>
      <c r="D4" s="55"/>
      <c r="E4" s="55"/>
    </row>
    <row r="5" spans="1:5" ht="8.25" customHeight="1" x14ac:dyDescent="0.3"/>
    <row r="6" spans="1:5" x14ac:dyDescent="0.3">
      <c r="A6" s="2" t="s">
        <v>0</v>
      </c>
    </row>
    <row r="7" spans="1:5" x14ac:dyDescent="0.3">
      <c r="A7" s="2"/>
      <c r="B7" s="2" t="s">
        <v>45</v>
      </c>
      <c r="D7" s="8">
        <f>SUM(D8:D11)</f>
        <v>48000</v>
      </c>
    </row>
    <row r="8" spans="1:5" x14ac:dyDescent="0.3">
      <c r="A8" s="2"/>
      <c r="B8" t="s">
        <v>55</v>
      </c>
      <c r="D8" s="6">
        <v>26000</v>
      </c>
    </row>
    <row r="9" spans="1:5" x14ac:dyDescent="0.3">
      <c r="A9" s="2"/>
      <c r="B9" t="s">
        <v>47</v>
      </c>
      <c r="D9" s="6">
        <v>8000</v>
      </c>
    </row>
    <row r="10" spans="1:5" x14ac:dyDescent="0.3">
      <c r="A10" s="2"/>
      <c r="B10" t="s">
        <v>56</v>
      </c>
      <c r="D10" s="6">
        <v>2000</v>
      </c>
    </row>
    <row r="11" spans="1:5" x14ac:dyDescent="0.3">
      <c r="A11" s="2"/>
      <c r="B11" t="s">
        <v>584</v>
      </c>
      <c r="D11" s="6">
        <v>12000</v>
      </c>
    </row>
    <row r="12" spans="1:5" ht="6" customHeight="1" x14ac:dyDescent="0.3">
      <c r="A12" s="2"/>
    </row>
    <row r="13" spans="1:5" x14ac:dyDescent="0.3">
      <c r="A13" s="2"/>
      <c r="B13" s="2" t="s">
        <v>46</v>
      </c>
      <c r="D13" s="8">
        <f>D14</f>
        <v>6000</v>
      </c>
    </row>
    <row r="14" spans="1:5" x14ac:dyDescent="0.3">
      <c r="A14" s="2"/>
      <c r="B14" t="s">
        <v>585</v>
      </c>
      <c r="D14" s="6">
        <v>6000</v>
      </c>
    </row>
    <row r="15" spans="1:5" ht="6.75" customHeight="1" x14ac:dyDescent="0.3">
      <c r="A15" s="2"/>
      <c r="B15" s="5"/>
      <c r="D15" s="9"/>
    </row>
    <row r="16" spans="1:5" s="2" customFormat="1" x14ac:dyDescent="0.3">
      <c r="B16" s="2" t="s">
        <v>21</v>
      </c>
      <c r="C16"/>
      <c r="D16" s="8">
        <f>D7+D13</f>
        <v>54000</v>
      </c>
    </row>
    <row r="17" spans="1:8" x14ac:dyDescent="0.3">
      <c r="A17" s="2"/>
      <c r="B17" s="7"/>
      <c r="C17" s="2"/>
      <c r="H17" t="s">
        <v>54</v>
      </c>
    </row>
    <row r="18" spans="1:8" x14ac:dyDescent="0.3">
      <c r="A18" s="2" t="s">
        <v>1</v>
      </c>
    </row>
    <row r="19" spans="1:8" x14ac:dyDescent="0.3">
      <c r="A19" s="2"/>
      <c r="B19" s="2" t="s">
        <v>2</v>
      </c>
      <c r="D19" s="8">
        <f>SUM(D20:D21)</f>
        <v>10000</v>
      </c>
    </row>
    <row r="20" spans="1:8" x14ac:dyDescent="0.3">
      <c r="A20" s="2"/>
      <c r="B20" t="s">
        <v>48</v>
      </c>
      <c r="D20" s="6">
        <v>6000</v>
      </c>
    </row>
    <row r="21" spans="1:8" x14ac:dyDescent="0.3">
      <c r="A21" s="2"/>
      <c r="B21" t="s">
        <v>49</v>
      </c>
      <c r="D21" s="6">
        <v>4000</v>
      </c>
    </row>
    <row r="22" spans="1:8" ht="6.6" customHeight="1" x14ac:dyDescent="0.3">
      <c r="A22" s="2"/>
    </row>
    <row r="23" spans="1:8" x14ac:dyDescent="0.3">
      <c r="A23" s="2"/>
      <c r="B23" s="2" t="s">
        <v>6</v>
      </c>
    </row>
    <row r="24" spans="1:8" x14ac:dyDescent="0.3">
      <c r="A24" s="2"/>
    </row>
    <row r="25" spans="1:8" x14ac:dyDescent="0.3">
      <c r="A25" s="2" t="s">
        <v>7</v>
      </c>
    </row>
    <row r="26" spans="1:8" x14ac:dyDescent="0.3">
      <c r="B26" t="s">
        <v>50</v>
      </c>
      <c r="D26" s="9">
        <f>SUM(D16-D19)</f>
        <v>44000</v>
      </c>
    </row>
    <row r="27" spans="1:8" ht="6.75" customHeight="1" x14ac:dyDescent="0.3">
      <c r="B27" s="5"/>
    </row>
    <row r="28" spans="1:8" s="2" customFormat="1" x14ac:dyDescent="0.3">
      <c r="B28" t="s">
        <v>9</v>
      </c>
      <c r="C28"/>
      <c r="D28" s="8">
        <f>SUM(D19+D26)</f>
        <v>54000</v>
      </c>
    </row>
    <row r="29" spans="1:8" x14ac:dyDescent="0.3">
      <c r="B29" s="7"/>
      <c r="C29" s="2"/>
    </row>
  </sheetData>
  <mergeCells count="3">
    <mergeCell ref="A2:E2"/>
    <mergeCell ref="A3:E3"/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60"/>
  <sheetViews>
    <sheetView showGridLines="0" topLeftCell="A4" zoomScale="130" zoomScaleNormal="130" workbookViewId="0">
      <selection activeCell="B12" sqref="B12"/>
    </sheetView>
  </sheetViews>
  <sheetFormatPr baseColWidth="10" defaultColWidth="11.44140625" defaultRowHeight="14.4" x14ac:dyDescent="0.3"/>
  <cols>
    <col min="1" max="1" width="12.5546875" customWidth="1"/>
    <col min="2" max="2" width="49.5546875" customWidth="1"/>
    <col min="3" max="4" width="11.44140625" style="6"/>
    <col min="5" max="5" width="11.88671875" bestFit="1" customWidth="1"/>
  </cols>
  <sheetData>
    <row r="1" spans="1:5" x14ac:dyDescent="0.3">
      <c r="A1" s="55" t="s">
        <v>17</v>
      </c>
      <c r="B1" s="55"/>
      <c r="C1" s="55"/>
      <c r="D1" s="55"/>
    </row>
    <row r="2" spans="1:5" ht="7.5" customHeight="1" x14ac:dyDescent="0.3"/>
    <row r="3" spans="1:5" ht="21.75" customHeight="1" x14ac:dyDescent="0.3">
      <c r="A3" s="3" t="s">
        <v>10</v>
      </c>
      <c r="B3" s="3" t="s">
        <v>11</v>
      </c>
      <c r="C3" s="10" t="s">
        <v>12</v>
      </c>
      <c r="D3" s="10" t="s">
        <v>13</v>
      </c>
    </row>
    <row r="4" spans="1:5" x14ac:dyDescent="0.3">
      <c r="A4" s="60">
        <v>45017</v>
      </c>
      <c r="B4" s="46" t="s">
        <v>588</v>
      </c>
      <c r="C4" s="18"/>
      <c r="D4" s="18"/>
    </row>
    <row r="5" spans="1:5" x14ac:dyDescent="0.3">
      <c r="A5" s="61"/>
      <c r="B5" s="17" t="s">
        <v>22</v>
      </c>
      <c r="C5" s="18">
        <v>26000</v>
      </c>
      <c r="D5" s="18"/>
      <c r="E5" s="6"/>
    </row>
    <row r="6" spans="1:5" x14ac:dyDescent="0.3">
      <c r="A6" s="61"/>
      <c r="B6" s="17" t="s">
        <v>20</v>
      </c>
      <c r="C6" s="18">
        <v>8000</v>
      </c>
      <c r="D6" s="18"/>
    </row>
    <row r="7" spans="1:5" x14ac:dyDescent="0.3">
      <c r="A7" s="61"/>
      <c r="B7" s="17" t="s">
        <v>5</v>
      </c>
      <c r="C7" s="18">
        <v>6000</v>
      </c>
      <c r="D7" s="18"/>
    </row>
    <row r="8" spans="1:5" x14ac:dyDescent="0.3">
      <c r="A8" s="61"/>
      <c r="B8" s="17" t="s">
        <v>16</v>
      </c>
      <c r="C8" s="18">
        <v>2000</v>
      </c>
      <c r="D8" s="18"/>
    </row>
    <row r="9" spans="1:5" x14ac:dyDescent="0.3">
      <c r="A9" s="61"/>
      <c r="B9" s="17" t="s">
        <v>591</v>
      </c>
      <c r="C9" s="18">
        <v>12000</v>
      </c>
      <c r="D9" s="18"/>
    </row>
    <row r="10" spans="1:5" x14ac:dyDescent="0.3">
      <c r="A10" s="61"/>
      <c r="B10" s="19" t="s">
        <v>51</v>
      </c>
      <c r="C10" s="18"/>
      <c r="D10" s="18">
        <v>6000</v>
      </c>
    </row>
    <row r="11" spans="1:5" x14ac:dyDescent="0.3">
      <c r="A11" s="61"/>
      <c r="B11" s="19" t="s">
        <v>592</v>
      </c>
      <c r="C11" s="18"/>
      <c r="D11" s="18">
        <v>4000</v>
      </c>
    </row>
    <row r="12" spans="1:5" x14ac:dyDescent="0.3">
      <c r="A12" s="61"/>
      <c r="B12" s="19" t="s">
        <v>3</v>
      </c>
      <c r="C12" s="18"/>
      <c r="D12" s="18">
        <f>'Blce. Apertura'!D26</f>
        <v>44000</v>
      </c>
    </row>
    <row r="13" spans="1:5" x14ac:dyDescent="0.3">
      <c r="A13" s="62"/>
      <c r="B13" s="17" t="s">
        <v>589</v>
      </c>
      <c r="C13" s="18"/>
      <c r="D13" s="18"/>
    </row>
    <row r="14" spans="1:5" x14ac:dyDescent="0.3">
      <c r="A14" s="60">
        <v>45018</v>
      </c>
      <c r="B14" s="46" t="s">
        <v>590</v>
      </c>
      <c r="C14" s="18"/>
      <c r="D14" s="18"/>
    </row>
    <row r="15" spans="1:5" x14ac:dyDescent="0.3">
      <c r="A15" s="61"/>
      <c r="B15" s="17" t="s">
        <v>24</v>
      </c>
      <c r="C15" s="18">
        <v>7000</v>
      </c>
      <c r="D15" s="18"/>
    </row>
    <row r="16" spans="1:5" x14ac:dyDescent="0.3">
      <c r="A16" s="61"/>
      <c r="B16" s="17" t="s">
        <v>52</v>
      </c>
      <c r="C16" s="18">
        <f>7000*0.03</f>
        <v>210</v>
      </c>
      <c r="D16" s="18"/>
    </row>
    <row r="17" spans="1:4" x14ac:dyDescent="0.3">
      <c r="A17" s="61"/>
      <c r="B17" s="19" t="s">
        <v>14</v>
      </c>
      <c r="C17" s="18"/>
      <c r="D17" s="18">
        <f>7000*0.87</f>
        <v>6090</v>
      </c>
    </row>
    <row r="18" spans="1:4" x14ac:dyDescent="0.3">
      <c r="A18" s="61"/>
      <c r="B18" s="27" t="s">
        <v>15</v>
      </c>
      <c r="C18" s="11"/>
      <c r="D18" s="11">
        <f>7000*0.13</f>
        <v>910</v>
      </c>
    </row>
    <row r="19" spans="1:4" x14ac:dyDescent="0.3">
      <c r="A19" s="61"/>
      <c r="B19" s="27" t="s">
        <v>593</v>
      </c>
      <c r="C19" s="11"/>
      <c r="D19" s="11">
        <f>C16</f>
        <v>210</v>
      </c>
    </row>
    <row r="20" spans="1:4" x14ac:dyDescent="0.3">
      <c r="A20" s="62"/>
      <c r="B20" s="4" t="s">
        <v>600</v>
      </c>
      <c r="C20" s="11"/>
      <c r="D20" s="11"/>
    </row>
    <row r="21" spans="1:4" x14ac:dyDescent="0.3">
      <c r="A21" s="56">
        <v>45020</v>
      </c>
      <c r="B21" s="46" t="s">
        <v>594</v>
      </c>
      <c r="C21" s="11"/>
      <c r="D21" s="11"/>
    </row>
    <row r="22" spans="1:4" x14ac:dyDescent="0.3">
      <c r="A22" s="57"/>
      <c r="B22" s="4" t="s">
        <v>592</v>
      </c>
      <c r="C22" s="11">
        <v>4000</v>
      </c>
      <c r="D22" s="11"/>
    </row>
    <row r="23" spans="1:4" x14ac:dyDescent="0.3">
      <c r="A23" s="57"/>
      <c r="B23" s="27" t="s">
        <v>22</v>
      </c>
      <c r="C23" s="11"/>
      <c r="D23" s="11">
        <v>4000</v>
      </c>
    </row>
    <row r="24" spans="1:4" x14ac:dyDescent="0.3">
      <c r="A24" s="58"/>
      <c r="B24" s="4" t="s">
        <v>595</v>
      </c>
      <c r="C24" s="11"/>
      <c r="D24" s="11"/>
    </row>
    <row r="25" spans="1:4" x14ac:dyDescent="0.3">
      <c r="A25" s="56">
        <v>45022</v>
      </c>
      <c r="B25" s="47" t="s">
        <v>596</v>
      </c>
      <c r="C25" s="11"/>
      <c r="D25" s="11"/>
    </row>
    <row r="26" spans="1:4" x14ac:dyDescent="0.3">
      <c r="A26" s="57"/>
      <c r="B26" s="4" t="s">
        <v>20</v>
      </c>
      <c r="C26" s="11">
        <f>9000*0.87</f>
        <v>7830</v>
      </c>
      <c r="D26" s="11"/>
    </row>
    <row r="27" spans="1:4" x14ac:dyDescent="0.3">
      <c r="A27" s="57"/>
      <c r="B27" s="4" t="s">
        <v>25</v>
      </c>
      <c r="C27" s="11">
        <f>9000*0.13</f>
        <v>1170</v>
      </c>
      <c r="D27" s="11"/>
    </row>
    <row r="28" spans="1:4" x14ac:dyDescent="0.3">
      <c r="A28" s="57"/>
      <c r="B28" s="27" t="s">
        <v>592</v>
      </c>
      <c r="C28" s="11"/>
      <c r="D28" s="11">
        <v>9000</v>
      </c>
    </row>
    <row r="29" spans="1:4" x14ac:dyDescent="0.3">
      <c r="A29" s="58"/>
      <c r="B29" s="4" t="s">
        <v>598</v>
      </c>
      <c r="C29" s="11"/>
      <c r="D29" s="11"/>
    </row>
    <row r="30" spans="1:4" x14ac:dyDescent="0.3">
      <c r="A30" s="56">
        <v>45026</v>
      </c>
      <c r="B30" s="47" t="s">
        <v>597</v>
      </c>
      <c r="C30" s="11"/>
      <c r="D30" s="11"/>
    </row>
    <row r="31" spans="1:4" x14ac:dyDescent="0.3">
      <c r="A31" s="57"/>
      <c r="B31" s="4" t="s">
        <v>24</v>
      </c>
      <c r="C31" s="11">
        <f>10000*0.8</f>
        <v>8000</v>
      </c>
      <c r="D31" s="11"/>
    </row>
    <row r="32" spans="1:4" x14ac:dyDescent="0.3">
      <c r="A32" s="57"/>
      <c r="B32" s="4" t="s">
        <v>53</v>
      </c>
      <c r="C32" s="11">
        <f>10000*0.2</f>
        <v>2000</v>
      </c>
      <c r="D32" s="11"/>
    </row>
    <row r="33" spans="1:4" x14ac:dyDescent="0.3">
      <c r="A33" s="57"/>
      <c r="B33" s="4" t="s">
        <v>52</v>
      </c>
      <c r="C33" s="11">
        <f>10000*0.03</f>
        <v>300</v>
      </c>
      <c r="D33" s="11"/>
    </row>
    <row r="34" spans="1:4" x14ac:dyDescent="0.3">
      <c r="A34" s="57"/>
      <c r="B34" s="4" t="s">
        <v>14</v>
      </c>
      <c r="C34" s="11"/>
      <c r="D34" s="11">
        <f>10000*0.87</f>
        <v>8700</v>
      </c>
    </row>
    <row r="35" spans="1:4" x14ac:dyDescent="0.3">
      <c r="A35" s="57"/>
      <c r="B35" s="4" t="s">
        <v>15</v>
      </c>
      <c r="C35" s="11"/>
      <c r="D35" s="11">
        <f>10000*0.13</f>
        <v>1300</v>
      </c>
    </row>
    <row r="36" spans="1:4" x14ac:dyDescent="0.3">
      <c r="A36" s="57"/>
      <c r="B36" s="4" t="s">
        <v>593</v>
      </c>
      <c r="C36" s="11"/>
      <c r="D36" s="11">
        <f>C33</f>
        <v>300</v>
      </c>
    </row>
    <row r="37" spans="1:4" x14ac:dyDescent="0.3">
      <c r="A37" s="58"/>
      <c r="B37" s="4" t="s">
        <v>599</v>
      </c>
      <c r="C37" s="11"/>
      <c r="D37" s="11"/>
    </row>
    <row r="38" spans="1:4" x14ac:dyDescent="0.3">
      <c r="A38" s="56">
        <v>45031</v>
      </c>
      <c r="B38" s="47" t="s">
        <v>601</v>
      </c>
      <c r="C38" s="11"/>
      <c r="D38" s="11"/>
    </row>
    <row r="39" spans="1:4" x14ac:dyDescent="0.3">
      <c r="A39" s="57"/>
      <c r="B39" s="4" t="s">
        <v>602</v>
      </c>
      <c r="C39" s="11">
        <v>70</v>
      </c>
      <c r="D39" s="11"/>
    </row>
    <row r="40" spans="1:4" x14ac:dyDescent="0.3">
      <c r="A40" s="57"/>
      <c r="B40" s="4" t="s">
        <v>25</v>
      </c>
      <c r="C40" s="11">
        <v>30</v>
      </c>
      <c r="D40" s="11"/>
    </row>
    <row r="41" spans="1:4" x14ac:dyDescent="0.3">
      <c r="A41" s="57"/>
      <c r="B41" s="27" t="s">
        <v>24</v>
      </c>
      <c r="C41" s="11"/>
      <c r="D41" s="11">
        <v>100</v>
      </c>
    </row>
    <row r="42" spans="1:4" x14ac:dyDescent="0.3">
      <c r="A42" s="58"/>
      <c r="B42" s="4" t="s">
        <v>603</v>
      </c>
      <c r="C42" s="11"/>
      <c r="D42" s="11"/>
    </row>
    <row r="43" spans="1:4" x14ac:dyDescent="0.3">
      <c r="A43" s="56">
        <v>45034</v>
      </c>
      <c r="B43" s="46" t="s">
        <v>604</v>
      </c>
      <c r="C43" s="11"/>
      <c r="D43" s="11"/>
    </row>
    <row r="44" spans="1:4" x14ac:dyDescent="0.3">
      <c r="A44" s="57"/>
      <c r="B44" s="4" t="s">
        <v>5</v>
      </c>
      <c r="C44" s="11">
        <f>1500*0.87</f>
        <v>1305</v>
      </c>
      <c r="D44" s="11"/>
    </row>
    <row r="45" spans="1:4" x14ac:dyDescent="0.3">
      <c r="A45" s="57"/>
      <c r="B45" s="4" t="s">
        <v>25</v>
      </c>
      <c r="C45" s="11">
        <f>1500*0.13</f>
        <v>195</v>
      </c>
      <c r="D45" s="11"/>
    </row>
    <row r="46" spans="1:4" x14ac:dyDescent="0.3">
      <c r="A46" s="57"/>
      <c r="B46" s="27" t="s">
        <v>24</v>
      </c>
      <c r="C46" s="11"/>
      <c r="D46" s="11">
        <v>1500</v>
      </c>
    </row>
    <row r="47" spans="1:4" x14ac:dyDescent="0.3">
      <c r="A47" s="58"/>
      <c r="B47" s="4" t="s">
        <v>605</v>
      </c>
      <c r="C47" s="11"/>
      <c r="D47" s="11"/>
    </row>
    <row r="48" spans="1:4" x14ac:dyDescent="0.3">
      <c r="A48" s="56">
        <v>45037</v>
      </c>
      <c r="B48" s="46" t="s">
        <v>606</v>
      </c>
      <c r="C48" s="11"/>
      <c r="D48" s="11"/>
    </row>
    <row r="49" spans="1:4" x14ac:dyDescent="0.3">
      <c r="A49" s="57"/>
      <c r="B49" s="4" t="s">
        <v>24</v>
      </c>
      <c r="C49" s="11">
        <v>800</v>
      </c>
      <c r="D49" s="11"/>
    </row>
    <row r="50" spans="1:4" x14ac:dyDescent="0.3">
      <c r="A50" s="57"/>
      <c r="B50" s="27" t="s">
        <v>22</v>
      </c>
      <c r="C50" s="11"/>
      <c r="D50" s="11">
        <v>800</v>
      </c>
    </row>
    <row r="51" spans="1:4" x14ac:dyDescent="0.3">
      <c r="A51" s="58"/>
      <c r="B51" s="4" t="s">
        <v>607</v>
      </c>
      <c r="C51" s="11"/>
      <c r="D51" s="11"/>
    </row>
    <row r="52" spans="1:4" x14ac:dyDescent="0.3">
      <c r="A52" s="59">
        <v>45046</v>
      </c>
      <c r="B52" s="46" t="s">
        <v>608</v>
      </c>
      <c r="C52" s="11"/>
      <c r="D52" s="11"/>
    </row>
    <row r="53" spans="1:4" x14ac:dyDescent="0.3">
      <c r="A53" s="59"/>
      <c r="B53" s="4" t="s">
        <v>609</v>
      </c>
      <c r="C53" s="11">
        <f>1200*0.87</f>
        <v>1044</v>
      </c>
      <c r="D53" s="11"/>
    </row>
    <row r="54" spans="1:4" x14ac:dyDescent="0.3">
      <c r="A54" s="59"/>
      <c r="B54" s="4" t="s">
        <v>25</v>
      </c>
      <c r="C54" s="11">
        <f>1200*0.13</f>
        <v>156</v>
      </c>
      <c r="D54" s="11"/>
    </row>
    <row r="55" spans="1:4" x14ac:dyDescent="0.3">
      <c r="A55" s="59"/>
      <c r="B55" s="27" t="s">
        <v>24</v>
      </c>
      <c r="C55" s="11"/>
      <c r="D55" s="11">
        <v>1200</v>
      </c>
    </row>
    <row r="56" spans="1:4" x14ac:dyDescent="0.3">
      <c r="A56" s="59"/>
      <c r="B56" s="4" t="s">
        <v>610</v>
      </c>
      <c r="C56" s="11"/>
      <c r="D56" s="11"/>
    </row>
    <row r="57" spans="1:4" x14ac:dyDescent="0.3">
      <c r="A57" s="56">
        <v>45046</v>
      </c>
      <c r="B57" s="46" t="s">
        <v>633</v>
      </c>
      <c r="C57" s="11"/>
      <c r="D57" s="11"/>
    </row>
    <row r="58" spans="1:4" x14ac:dyDescent="0.3">
      <c r="A58" s="57"/>
      <c r="B58" s="44" t="s">
        <v>15</v>
      </c>
      <c r="C58" s="11">
        <v>1551</v>
      </c>
      <c r="D58" s="11"/>
    </row>
    <row r="59" spans="1:4" x14ac:dyDescent="0.3">
      <c r="A59" s="57"/>
      <c r="B59" s="45" t="s">
        <v>25</v>
      </c>
      <c r="C59" s="11"/>
      <c r="D59" s="11" t="e">
        <f ca="1">Mayores!J27</f>
        <v>#NAME?</v>
      </c>
    </row>
    <row r="60" spans="1:4" x14ac:dyDescent="0.3">
      <c r="A60" s="58"/>
      <c r="B60" s="4" t="s">
        <v>634</v>
      </c>
      <c r="C60" s="11"/>
      <c r="D60" s="11"/>
    </row>
  </sheetData>
  <mergeCells count="11">
    <mergeCell ref="A57:A60"/>
    <mergeCell ref="A1:D1"/>
    <mergeCell ref="A38:A42"/>
    <mergeCell ref="A43:A47"/>
    <mergeCell ref="A48:A51"/>
    <mergeCell ref="A52:A56"/>
    <mergeCell ref="A21:A24"/>
    <mergeCell ref="A14:A20"/>
    <mergeCell ref="A4:A13"/>
    <mergeCell ref="A25:A29"/>
    <mergeCell ref="A30:A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9864-A459-4F92-A253-40537100D1F4}">
  <dimension ref="A1:G54"/>
  <sheetViews>
    <sheetView workbookViewId="0">
      <selection activeCell="G28" sqref="G28:G29"/>
    </sheetView>
  </sheetViews>
  <sheetFormatPr baseColWidth="10" defaultRowHeight="14.4" x14ac:dyDescent="0.3"/>
  <cols>
    <col min="1" max="1" width="43.6640625" customWidth="1"/>
    <col min="2" max="2" width="22.5546875" customWidth="1"/>
    <col min="3" max="3" width="23.109375" customWidth="1"/>
    <col min="5" max="5" width="48" customWidth="1"/>
  </cols>
  <sheetData>
    <row r="1" spans="1:7" x14ac:dyDescent="0.3">
      <c r="A1" s="28" t="str">
        <f>IF(OR(ISNUMBER(FIND("-CT-",'Libro Diario 1'!B4)),ISNUMBER(FIND("-CE-",'Libro Diario 1'!B4)), ISNUMBER(FIND("-CI-",'Libro Diario 1'!B4)), ISNUMBER(FIND("Glosa", 'Libro Diario 1'!B4))), "", 'Libro Diario 1'!B4)</f>
        <v/>
      </c>
      <c r="B1" s="28">
        <f>IF(OR(ISNUMBER(FIND("-CT-",'Libro Diario 1'!C4)),ISNUMBER(FIND("-CE-",'Libro Diario 1'!C4)), ISNUMBER(FIND("-CI-",'Libro Diario 1'!C4)), ISNUMBER(FIND("Glosa", 'Libro Diario 1'!C4))), "", 'Libro Diario 1'!C4)</f>
        <v>0</v>
      </c>
      <c r="C1" s="28">
        <f>IF(OR(ISNUMBER(FIND("-CT-",'Libro Diario 1'!D4)),ISNUMBER(FIND("-CE-",'Libro Diario 1'!D4)), ISNUMBER(FIND("-CI-",'Libro Diario 1'!D4)), ISNUMBER(FIND("Glosa", 'Libro Diario 1'!D4))), "", 'Libro Diario 1'!D4)</f>
        <v>0</v>
      </c>
      <c r="E1" t="s">
        <v>59</v>
      </c>
    </row>
    <row r="2" spans="1:7" x14ac:dyDescent="0.3">
      <c r="A2" s="29" t="str">
        <f>IF(OR(ISNUMBER(FIND("-CT-",'Libro Diario 1'!B5)),ISNUMBER(FIND("-CE-",'Libro Diario 1'!B5)), ISNUMBER(FIND("-CI-",'Libro Diario 1'!B5)), ISNUMBER(FIND("Glosa", 'Libro Diario 1'!B5))), "", 'Libro Diario 1'!B5)</f>
        <v>BANCO GANADERO M/N</v>
      </c>
      <c r="B2" s="28">
        <f>IF(OR(ISNUMBER(FIND("-CT-",'Libro Diario 1'!C5)),ISNUMBER(FIND("-CE-",'Libro Diario 1'!C5)), ISNUMBER(FIND("-CI-",'Libro Diario 1'!C5)), ISNUMBER(FIND("Glosa", 'Libro Diario 1'!C5))), "", 'Libro Diario 1'!C5)</f>
        <v>26000</v>
      </c>
      <c r="C2" s="28">
        <f>IF(OR(ISNUMBER(FIND("-CT-",'Libro Diario 1'!D5)),ISNUMBER(FIND("-CE-",'Libro Diario 1'!D5)), ISNUMBER(FIND("-CI-",'Libro Diario 1'!D5)), ISNUMBER(FIND("Glosa", 'Libro Diario 1'!D5))), "", 'Libro Diario 1'!D5)</f>
        <v>0</v>
      </c>
      <c r="E2" t="s">
        <v>22</v>
      </c>
      <c r="F2">
        <f>SUMIF(A1:A54,E2,B1:B54)</f>
        <v>26000</v>
      </c>
      <c r="G2">
        <f>SUMIF(A1:A54,E2,C1:C54)</f>
        <v>4800</v>
      </c>
    </row>
    <row r="3" spans="1:7" x14ac:dyDescent="0.3">
      <c r="A3" s="29" t="str">
        <f>IF(OR(ISNUMBER(FIND("-CT-",'Libro Diario 1'!B6)),ISNUMBER(FIND("-CE-",'Libro Diario 1'!B6)), ISNUMBER(FIND("-CI-",'Libro Diario 1'!B6)), ISNUMBER(FIND("Glosa", 'Libro Diario 1'!B6))), "", 'Libro Diario 1'!B6)</f>
        <v>INVENTARIO DE MERCADERIAS</v>
      </c>
      <c r="B3" s="28">
        <f>IF(OR(ISNUMBER(FIND("-CT-",'Libro Diario 1'!C6)),ISNUMBER(FIND("-CE-",'Libro Diario 1'!C6)), ISNUMBER(FIND("-CI-",'Libro Diario 1'!C6)), ISNUMBER(FIND("Glosa", 'Libro Diario 1'!C6))), "", 'Libro Diario 1'!C6)</f>
        <v>8000</v>
      </c>
      <c r="C3" s="28">
        <f>IF(OR(ISNUMBER(FIND("-CT-",'Libro Diario 1'!D6)),ISNUMBER(FIND("-CE-",'Libro Diario 1'!D6)), ISNUMBER(FIND("-CI-",'Libro Diario 1'!D6)), ISNUMBER(FIND("Glosa", 'Libro Diario 1'!D6))), "", 'Libro Diario 1'!D6)</f>
        <v>0</v>
      </c>
      <c r="E3" t="s">
        <v>20</v>
      </c>
      <c r="F3">
        <f t="shared" ref="F3:F18" si="0">SUMIF(A2:A55,E3,B2:B55)</f>
        <v>15830</v>
      </c>
      <c r="G3">
        <f t="shared" ref="G3:G18" si="1">SUMIF(A2:A55,E3,C2:C55)</f>
        <v>0</v>
      </c>
    </row>
    <row r="4" spans="1:7" x14ac:dyDescent="0.3">
      <c r="A4" s="29" t="str">
        <f>IF(OR(ISNUMBER(FIND("-CT-",'Libro Diario 1'!B7)),ISNUMBER(FIND("-CE-",'Libro Diario 1'!B7)), ISNUMBER(FIND("-CI-",'Libro Diario 1'!B7)), ISNUMBER(FIND("Glosa", 'Libro Diario 1'!B7))), "", 'Libro Diario 1'!B7)</f>
        <v>MUEBLES Y ENSERES</v>
      </c>
      <c r="B4" s="28">
        <f>IF(OR(ISNUMBER(FIND("-CT-",'Libro Diario 1'!C7)),ISNUMBER(FIND("-CE-",'Libro Diario 1'!C7)), ISNUMBER(FIND("-CI-",'Libro Diario 1'!C7)), ISNUMBER(FIND("Glosa", 'Libro Diario 1'!C7))), "", 'Libro Diario 1'!C7)</f>
        <v>6000</v>
      </c>
      <c r="C4" s="28">
        <f>IF(OR(ISNUMBER(FIND("-CT-",'Libro Diario 1'!D7)),ISNUMBER(FIND("-CE-",'Libro Diario 1'!D7)), ISNUMBER(FIND("-CI-",'Libro Diario 1'!D7)), ISNUMBER(FIND("Glosa", 'Libro Diario 1'!D7))), "", 'Libro Diario 1'!D7)</f>
        <v>0</v>
      </c>
      <c r="E4" t="s">
        <v>5</v>
      </c>
      <c r="F4">
        <f t="shared" si="0"/>
        <v>7305</v>
      </c>
      <c r="G4">
        <f t="shared" si="1"/>
        <v>0</v>
      </c>
    </row>
    <row r="5" spans="1:7" x14ac:dyDescent="0.3">
      <c r="A5" s="29" t="str">
        <f>IF(OR(ISNUMBER(FIND("-CT-",'Libro Diario 1'!B8)),ISNUMBER(FIND("-CE-",'Libro Diario 1'!B8)), ISNUMBER(FIND("-CI-",'Libro Diario 1'!B8)), ISNUMBER(FIND("Glosa", 'Libro Diario 1'!B8))), "", 'Libro Diario 1'!B8)</f>
        <v>CUENTAS POR COBRAR</v>
      </c>
      <c r="B5" s="28">
        <f>IF(OR(ISNUMBER(FIND("-CT-",'Libro Diario 1'!C8)),ISNUMBER(FIND("-CE-",'Libro Diario 1'!C8)), ISNUMBER(FIND("-CI-",'Libro Diario 1'!C8)), ISNUMBER(FIND("Glosa", 'Libro Diario 1'!C8))), "", 'Libro Diario 1'!C8)</f>
        <v>2000</v>
      </c>
      <c r="C5" s="28">
        <f>IF(OR(ISNUMBER(FIND("-CT-",'Libro Diario 1'!D8)),ISNUMBER(FIND("-CE-",'Libro Diario 1'!D8)), ISNUMBER(FIND("-CI-",'Libro Diario 1'!D8)), ISNUMBER(FIND("Glosa", 'Libro Diario 1'!D8))), "", 'Libro Diario 1'!D8)</f>
        <v>0</v>
      </c>
      <c r="E5" t="s">
        <v>16</v>
      </c>
      <c r="F5">
        <f t="shared" si="0"/>
        <v>2000</v>
      </c>
      <c r="G5">
        <f t="shared" si="1"/>
        <v>0</v>
      </c>
    </row>
    <row r="6" spans="1:7" x14ac:dyDescent="0.3">
      <c r="A6" s="29" t="str">
        <f>IF(OR(ISNUMBER(FIND("-CT-",'Libro Diario 1'!B9)),ISNUMBER(FIND("-CE-",'Libro Diario 1'!B9)), ISNUMBER(FIND("-CI-",'Libro Diario 1'!B9)), ISNUMBER(FIND("Glosa", 'Libro Diario 1'!B9))), "", 'Libro Diario 1'!B9)</f>
        <v>ALQUILERES PAGADOS POR ANTICIPADO</v>
      </c>
      <c r="B6" s="28">
        <f>IF(OR(ISNUMBER(FIND("-CT-",'Libro Diario 1'!C9)),ISNUMBER(FIND("-CE-",'Libro Diario 1'!C9)), ISNUMBER(FIND("-CI-",'Libro Diario 1'!C9)), ISNUMBER(FIND("Glosa", 'Libro Diario 1'!C9))), "", 'Libro Diario 1'!C9)</f>
        <v>12000</v>
      </c>
      <c r="C6" s="28">
        <f>IF(OR(ISNUMBER(FIND("-CT-",'Libro Diario 1'!D9)),ISNUMBER(FIND("-CE-",'Libro Diario 1'!D9)), ISNUMBER(FIND("-CI-",'Libro Diario 1'!D9)), ISNUMBER(FIND("Glosa", 'Libro Diario 1'!D9))), "", 'Libro Diario 1'!D9)</f>
        <v>0</v>
      </c>
      <c r="E6" t="s">
        <v>591</v>
      </c>
      <c r="F6">
        <f t="shared" si="0"/>
        <v>12000</v>
      </c>
      <c r="G6">
        <f t="shared" si="1"/>
        <v>0</v>
      </c>
    </row>
    <row r="7" spans="1:7" x14ac:dyDescent="0.3">
      <c r="A7" s="29" t="str">
        <f>IF(OR(ISNUMBER(FIND("-CT-",'Libro Diario 1'!B10)),ISNUMBER(FIND("-CE-",'Libro Diario 1'!B10)), ISNUMBER(FIND("-CI-",'Libro Diario 1'!B10)), ISNUMBER(FIND("Glosa", 'Libro Diario 1'!B10))), "", 'Libro Diario 1'!B10)</f>
        <v>DOCUMENTOS POR PAGAR</v>
      </c>
      <c r="B7" s="28">
        <f>IF(OR(ISNUMBER(FIND("-CT-",'Libro Diario 1'!C10)),ISNUMBER(FIND("-CE-",'Libro Diario 1'!C10)), ISNUMBER(FIND("-CI-",'Libro Diario 1'!C10)), ISNUMBER(FIND("Glosa", 'Libro Diario 1'!C10))), "", 'Libro Diario 1'!C10)</f>
        <v>0</v>
      </c>
      <c r="C7" s="28">
        <f>IF(OR(ISNUMBER(FIND("-CT-",'Libro Diario 1'!D10)),ISNUMBER(FIND("-CE-",'Libro Diario 1'!D10)), ISNUMBER(FIND("-CI-",'Libro Diario 1'!D10)), ISNUMBER(FIND("Glosa", 'Libro Diario 1'!D10))), "", 'Libro Diario 1'!D10)</f>
        <v>6000</v>
      </c>
      <c r="E7" t="s">
        <v>51</v>
      </c>
      <c r="F7">
        <f t="shared" si="0"/>
        <v>0</v>
      </c>
      <c r="G7">
        <f t="shared" si="1"/>
        <v>6000</v>
      </c>
    </row>
    <row r="8" spans="1:7" x14ac:dyDescent="0.3">
      <c r="A8" s="29" t="str">
        <f>IF(OR(ISNUMBER(FIND("-CT-",'Libro Diario 1'!B11)),ISNUMBER(FIND("-CE-",'Libro Diario 1'!B11)), ISNUMBER(FIND("-CI-",'Libro Diario 1'!B11)), ISNUMBER(FIND("Glosa", 'Libro Diario 1'!B11))), "", 'Libro Diario 1'!B11)</f>
        <v>DEUDAS POR PAGAR</v>
      </c>
      <c r="B8" s="28">
        <f>IF(OR(ISNUMBER(FIND("-CT-",'Libro Diario 1'!C11)),ISNUMBER(FIND("-CE-",'Libro Diario 1'!C11)), ISNUMBER(FIND("-CI-",'Libro Diario 1'!C11)), ISNUMBER(FIND("Glosa", 'Libro Diario 1'!C11))), "", 'Libro Diario 1'!C11)</f>
        <v>0</v>
      </c>
      <c r="C8" s="28">
        <f>IF(OR(ISNUMBER(FIND("-CT-",'Libro Diario 1'!D11)),ISNUMBER(FIND("-CE-",'Libro Diario 1'!D11)), ISNUMBER(FIND("-CI-",'Libro Diario 1'!D11)), ISNUMBER(FIND("Glosa", 'Libro Diario 1'!D11))), "", 'Libro Diario 1'!D11)</f>
        <v>4000</v>
      </c>
      <c r="E8" t="s">
        <v>592</v>
      </c>
      <c r="F8">
        <f t="shared" si="0"/>
        <v>4000</v>
      </c>
      <c r="G8">
        <f t="shared" si="1"/>
        <v>13000</v>
      </c>
    </row>
    <row r="9" spans="1:7" x14ac:dyDescent="0.3">
      <c r="A9" s="29" t="str">
        <f>IF(OR(ISNUMBER(FIND("-CT-",'Libro Diario 1'!B12)),ISNUMBER(FIND("-CE-",'Libro Diario 1'!B12)), ISNUMBER(FIND("-CI-",'Libro Diario 1'!B12)), ISNUMBER(FIND("Glosa", 'Libro Diario 1'!B12))), "", 'Libro Diario 1'!B12)</f>
        <v>CAPITAL SOCIAL</v>
      </c>
      <c r="B9" s="28">
        <f>IF(OR(ISNUMBER(FIND("-CT-",'Libro Diario 1'!C12)),ISNUMBER(FIND("-CE-",'Libro Diario 1'!C12)), ISNUMBER(FIND("-CI-",'Libro Diario 1'!C12)), ISNUMBER(FIND("Glosa", 'Libro Diario 1'!C12))), "", 'Libro Diario 1'!C12)</f>
        <v>0</v>
      </c>
      <c r="C9" s="28">
        <f>IF(OR(ISNUMBER(FIND("-CT-",'Libro Diario 1'!D12)),ISNUMBER(FIND("-CE-",'Libro Diario 1'!D12)), ISNUMBER(FIND("-CI-",'Libro Diario 1'!D12)), ISNUMBER(FIND("Glosa", 'Libro Diario 1'!D12))), "", 'Libro Diario 1'!D12)</f>
        <v>44000</v>
      </c>
      <c r="E9" t="s">
        <v>3</v>
      </c>
      <c r="F9">
        <f t="shared" si="0"/>
        <v>0</v>
      </c>
      <c r="G9">
        <f t="shared" si="1"/>
        <v>44000</v>
      </c>
    </row>
    <row r="10" spans="1:7" x14ac:dyDescent="0.3">
      <c r="A10" s="29" t="str">
        <f>IF(OR(ISNUMBER(FIND("-CT-",'Libro Diario 1'!B13)),ISNUMBER(FIND("-CE-",'Libro Diario 1'!B13)), ISNUMBER(FIND("-CI-",'Libro Diario 1'!B13)), ISNUMBER(FIND("Glosa", 'Libro Diario 1'!B13))), "", 'Libro Diario 1'!B13)</f>
        <v/>
      </c>
      <c r="B10" s="28">
        <f>IF(OR(ISNUMBER(FIND("-CT-",'Libro Diario 1'!C13)),ISNUMBER(FIND("-CE-",'Libro Diario 1'!C13)), ISNUMBER(FIND("-CI-",'Libro Diario 1'!C13)), ISNUMBER(FIND("Glosa", 'Libro Diario 1'!C13))), "", 'Libro Diario 1'!C13)</f>
        <v>0</v>
      </c>
      <c r="C10" s="28">
        <f>IF(OR(ISNUMBER(FIND("-CT-",'Libro Diario 1'!D13)),ISNUMBER(FIND("-CE-",'Libro Diario 1'!D13)), ISNUMBER(FIND("-CI-",'Libro Diario 1'!D13)), ISNUMBER(FIND("Glosa", 'Libro Diario 1'!D13))), "", 'Libro Diario 1'!D13)</f>
        <v>0</v>
      </c>
      <c r="E10" t="s">
        <v>24</v>
      </c>
      <c r="F10">
        <f t="shared" si="0"/>
        <v>15800</v>
      </c>
      <c r="G10">
        <f t="shared" si="1"/>
        <v>2800</v>
      </c>
    </row>
    <row r="11" spans="1:7" x14ac:dyDescent="0.3">
      <c r="A11" s="29" t="str">
        <f>IF(OR(ISNUMBER(FIND("-CT-",'Libro Diario 1'!B14)),ISNUMBER(FIND("-CE-",'Libro Diario 1'!B14)), ISNUMBER(FIND("-CI-",'Libro Diario 1'!B14)), ISNUMBER(FIND("Glosa", 'Libro Diario 1'!B14))), "", 'Libro Diario 1'!B14)</f>
        <v/>
      </c>
      <c r="B11" s="28">
        <f>IF(OR(ISNUMBER(FIND("-CT-",'Libro Diario 1'!C14)),ISNUMBER(FIND("-CE-",'Libro Diario 1'!C14)), ISNUMBER(FIND("-CI-",'Libro Diario 1'!C14)), ISNUMBER(FIND("Glosa", 'Libro Diario 1'!C14))), "", 'Libro Diario 1'!C14)</f>
        <v>0</v>
      </c>
      <c r="C11" s="28">
        <f>IF(OR(ISNUMBER(FIND("-CT-",'Libro Diario 1'!D14)),ISNUMBER(FIND("-CE-",'Libro Diario 1'!D14)), ISNUMBER(FIND("-CI-",'Libro Diario 1'!D14)), ISNUMBER(FIND("Glosa", 'Libro Diario 1'!D14))), "", 'Libro Diario 1'!D14)</f>
        <v>0</v>
      </c>
      <c r="E11" t="s">
        <v>52</v>
      </c>
      <c r="F11">
        <f t="shared" si="0"/>
        <v>510</v>
      </c>
      <c r="G11">
        <f t="shared" si="1"/>
        <v>0</v>
      </c>
    </row>
    <row r="12" spans="1:7" x14ac:dyDescent="0.3">
      <c r="A12" s="29" t="str">
        <f>IF(OR(ISNUMBER(FIND("-CT-",'Libro Diario 1'!B15)),ISNUMBER(FIND("-CE-",'Libro Diario 1'!B15)), ISNUMBER(FIND("-CI-",'Libro Diario 1'!B15)), ISNUMBER(FIND("Glosa", 'Libro Diario 1'!B15))), "", 'Libro Diario 1'!B15)</f>
        <v>CAJA M/N</v>
      </c>
      <c r="B12" s="28">
        <f>IF(OR(ISNUMBER(FIND("-CT-",'Libro Diario 1'!C15)),ISNUMBER(FIND("-CE-",'Libro Diario 1'!C15)), ISNUMBER(FIND("-CI-",'Libro Diario 1'!C15)), ISNUMBER(FIND("Glosa", 'Libro Diario 1'!C15))), "", 'Libro Diario 1'!C15)</f>
        <v>7000</v>
      </c>
      <c r="C12" s="28">
        <f>IF(OR(ISNUMBER(FIND("-CT-",'Libro Diario 1'!D15)),ISNUMBER(FIND("-CE-",'Libro Diario 1'!D15)), ISNUMBER(FIND("-CI-",'Libro Diario 1'!D15)), ISNUMBER(FIND("Glosa", 'Libro Diario 1'!D15))), "", 'Libro Diario 1'!D15)</f>
        <v>0</v>
      </c>
      <c r="E12" t="s">
        <v>14</v>
      </c>
      <c r="F12">
        <f t="shared" si="0"/>
        <v>0</v>
      </c>
      <c r="G12">
        <f t="shared" si="1"/>
        <v>14790</v>
      </c>
    </row>
    <row r="13" spans="1:7" x14ac:dyDescent="0.3">
      <c r="A13" s="29" t="str">
        <f>IF(OR(ISNUMBER(FIND("-CT-",'Libro Diario 1'!B16)),ISNUMBER(FIND("-CE-",'Libro Diario 1'!B16)), ISNUMBER(FIND("-CI-",'Libro Diario 1'!B16)), ISNUMBER(FIND("Glosa", 'Libro Diario 1'!B16))), "", 'Libro Diario 1'!B16)</f>
        <v>IMPUESTO A LAS TRANSACCIONES</v>
      </c>
      <c r="B13" s="28">
        <f>IF(OR(ISNUMBER(FIND("-CT-",'Libro Diario 1'!C16)),ISNUMBER(FIND("-CE-",'Libro Diario 1'!C16)), ISNUMBER(FIND("-CI-",'Libro Diario 1'!C16)), ISNUMBER(FIND("Glosa", 'Libro Diario 1'!C16))), "", 'Libro Diario 1'!C16)</f>
        <v>210</v>
      </c>
      <c r="C13" s="28">
        <f>IF(OR(ISNUMBER(FIND("-CT-",'Libro Diario 1'!D16)),ISNUMBER(FIND("-CE-",'Libro Diario 1'!D16)), ISNUMBER(FIND("-CI-",'Libro Diario 1'!D16)), ISNUMBER(FIND("Glosa", 'Libro Diario 1'!D16))), "", 'Libro Diario 1'!D16)</f>
        <v>0</v>
      </c>
      <c r="E13" t="s">
        <v>15</v>
      </c>
      <c r="F13">
        <f t="shared" si="0"/>
        <v>0</v>
      </c>
      <c r="G13">
        <f t="shared" si="1"/>
        <v>2210</v>
      </c>
    </row>
    <row r="14" spans="1:7" x14ac:dyDescent="0.3">
      <c r="A14" s="29" t="str">
        <f>IF(OR(ISNUMBER(FIND("-CT-",'Libro Diario 1'!B17)),ISNUMBER(FIND("-CE-",'Libro Diario 1'!B17)), ISNUMBER(FIND("-CI-",'Libro Diario 1'!B17)), ISNUMBER(FIND("Glosa", 'Libro Diario 1'!B17))), "", 'Libro Diario 1'!B17)</f>
        <v>VENTAS</v>
      </c>
      <c r="B14" s="28">
        <f>IF(OR(ISNUMBER(FIND("-CT-",'Libro Diario 1'!C17)),ISNUMBER(FIND("-CE-",'Libro Diario 1'!C17)), ISNUMBER(FIND("-CI-",'Libro Diario 1'!C17)), ISNUMBER(FIND("Glosa", 'Libro Diario 1'!C17))), "", 'Libro Diario 1'!C17)</f>
        <v>0</v>
      </c>
      <c r="C14" s="28">
        <f>IF(OR(ISNUMBER(FIND("-CT-",'Libro Diario 1'!D17)),ISNUMBER(FIND("-CE-",'Libro Diario 1'!D17)), ISNUMBER(FIND("-CI-",'Libro Diario 1'!D17)), ISNUMBER(FIND("Glosa", 'Libro Diario 1'!D17))), "", 'Libro Diario 1'!D17)</f>
        <v>6090</v>
      </c>
      <c r="E14" t="s">
        <v>593</v>
      </c>
      <c r="F14">
        <f t="shared" si="0"/>
        <v>0</v>
      </c>
      <c r="G14">
        <f t="shared" si="1"/>
        <v>510</v>
      </c>
    </row>
    <row r="15" spans="1:7" x14ac:dyDescent="0.3">
      <c r="A15" s="29" t="str">
        <f>IF(OR(ISNUMBER(FIND("-CT-",'Libro Diario 1'!B18)),ISNUMBER(FIND("-CE-",'Libro Diario 1'!B18)), ISNUMBER(FIND("-CI-",'Libro Diario 1'!B18)), ISNUMBER(FIND("Glosa", 'Libro Diario 1'!B18))), "", 'Libro Diario 1'!B18)</f>
        <v>DEBITO FISCAL</v>
      </c>
      <c r="B15" s="28">
        <f>IF(OR(ISNUMBER(FIND("-CT-",'Libro Diario 1'!C18)),ISNUMBER(FIND("-CE-",'Libro Diario 1'!C18)), ISNUMBER(FIND("-CI-",'Libro Diario 1'!C18)), ISNUMBER(FIND("Glosa", 'Libro Diario 1'!C18))), "", 'Libro Diario 1'!C18)</f>
        <v>0</v>
      </c>
      <c r="C15" s="28">
        <f>IF(OR(ISNUMBER(FIND("-CT-",'Libro Diario 1'!D18)),ISNUMBER(FIND("-CE-",'Libro Diario 1'!D18)), ISNUMBER(FIND("-CI-",'Libro Diario 1'!D18)), ISNUMBER(FIND("Glosa", 'Libro Diario 1'!D18))), "", 'Libro Diario 1'!D18)</f>
        <v>910</v>
      </c>
      <c r="E15" t="s">
        <v>25</v>
      </c>
      <c r="F15">
        <f t="shared" si="0"/>
        <v>1551</v>
      </c>
      <c r="G15">
        <f t="shared" si="1"/>
        <v>0</v>
      </c>
    </row>
    <row r="16" spans="1:7" x14ac:dyDescent="0.3">
      <c r="A16" s="29" t="str">
        <f>IF(OR(ISNUMBER(FIND("-CT-",'Libro Diario 1'!B19)),ISNUMBER(FIND("-CE-",'Libro Diario 1'!B19)), ISNUMBER(FIND("-CI-",'Libro Diario 1'!B19)), ISNUMBER(FIND("Glosa", 'Libro Diario 1'!B19))), "", 'Libro Diario 1'!B19)</f>
        <v>IT POR PAGAR</v>
      </c>
      <c r="B16" s="28">
        <f>IF(OR(ISNUMBER(FIND("-CT-",'Libro Diario 1'!C19)),ISNUMBER(FIND("-CE-",'Libro Diario 1'!C19)), ISNUMBER(FIND("-CI-",'Libro Diario 1'!C19)), ISNUMBER(FIND("Glosa", 'Libro Diario 1'!C19))), "", 'Libro Diario 1'!C19)</f>
        <v>0</v>
      </c>
      <c r="C16" s="28">
        <f>IF(OR(ISNUMBER(FIND("-CT-",'Libro Diario 1'!D19)),ISNUMBER(FIND("-CE-",'Libro Diario 1'!D19)), ISNUMBER(FIND("-CI-",'Libro Diario 1'!D19)), ISNUMBER(FIND("Glosa", 'Libro Diario 1'!D19))), "", 'Libro Diario 1'!D19)</f>
        <v>210</v>
      </c>
      <c r="E16" t="s">
        <v>53</v>
      </c>
      <c r="F16">
        <f t="shared" si="0"/>
        <v>2000</v>
      </c>
      <c r="G16">
        <f t="shared" si="1"/>
        <v>0</v>
      </c>
    </row>
    <row r="17" spans="1:7" x14ac:dyDescent="0.3">
      <c r="A17" s="29" t="str">
        <f>IF(OR(ISNUMBER(FIND("-CT-",'Libro Diario 1'!B20)),ISNUMBER(FIND("-CE-",'Libro Diario 1'!B20)), ISNUMBER(FIND("-CI-",'Libro Diario 1'!B20)), ISNUMBER(FIND("Glosa", 'Libro Diario 1'!B20))), "", 'Libro Diario 1'!B20)</f>
        <v/>
      </c>
      <c r="B17" s="28">
        <f>IF(OR(ISNUMBER(FIND("-CT-",'Libro Diario 1'!C20)),ISNUMBER(FIND("-CE-",'Libro Diario 1'!C20)), ISNUMBER(FIND("-CI-",'Libro Diario 1'!C20)), ISNUMBER(FIND("Glosa", 'Libro Diario 1'!C20))), "", 'Libro Diario 1'!C20)</f>
        <v>0</v>
      </c>
      <c r="C17" s="28">
        <f>IF(OR(ISNUMBER(FIND("-CT-",'Libro Diario 1'!D20)),ISNUMBER(FIND("-CE-",'Libro Diario 1'!D20)), ISNUMBER(FIND("-CI-",'Libro Diario 1'!D20)), ISNUMBER(FIND("Glosa", 'Libro Diario 1'!D20))), "", 'Libro Diario 1'!D20)</f>
        <v>0</v>
      </c>
      <c r="E17" t="s">
        <v>602</v>
      </c>
      <c r="F17">
        <f t="shared" si="0"/>
        <v>70</v>
      </c>
      <c r="G17">
        <f t="shared" si="1"/>
        <v>0</v>
      </c>
    </row>
    <row r="18" spans="1:7" x14ac:dyDescent="0.3">
      <c r="A18" s="29" t="str">
        <f>IF(OR(ISNUMBER(FIND("-CT-",'Libro Diario 1'!B21)),ISNUMBER(FIND("-CE-",'Libro Diario 1'!B21)), ISNUMBER(FIND("-CI-",'Libro Diario 1'!B21)), ISNUMBER(FIND("Glosa", 'Libro Diario 1'!B21))), "", 'Libro Diario 1'!B21)</f>
        <v/>
      </c>
      <c r="B18" s="28">
        <f>IF(OR(ISNUMBER(FIND("-CT-",'Libro Diario 1'!C21)),ISNUMBER(FIND("-CE-",'Libro Diario 1'!C21)), ISNUMBER(FIND("-CI-",'Libro Diario 1'!C21)), ISNUMBER(FIND("Glosa", 'Libro Diario 1'!C21))), "", 'Libro Diario 1'!C21)</f>
        <v>0</v>
      </c>
      <c r="C18" s="28">
        <f>IF(OR(ISNUMBER(FIND("-CT-",'Libro Diario 1'!D21)),ISNUMBER(FIND("-CE-",'Libro Diario 1'!D21)), ISNUMBER(FIND("-CI-",'Libro Diario 1'!D21)), ISNUMBER(FIND("Glosa", 'Libro Diario 1'!D21))), "", 'Libro Diario 1'!D21)</f>
        <v>0</v>
      </c>
      <c r="E18" t="s">
        <v>609</v>
      </c>
      <c r="F18">
        <f t="shared" si="0"/>
        <v>1044</v>
      </c>
      <c r="G18">
        <f t="shared" si="1"/>
        <v>0</v>
      </c>
    </row>
    <row r="19" spans="1:7" x14ac:dyDescent="0.3">
      <c r="A19" s="29" t="str">
        <f>IF(OR(ISNUMBER(FIND("-CT-",'Libro Diario 1'!B22)),ISNUMBER(FIND("-CE-",'Libro Diario 1'!B22)), ISNUMBER(FIND("-CI-",'Libro Diario 1'!B22)), ISNUMBER(FIND("Glosa", 'Libro Diario 1'!B22))), "", 'Libro Diario 1'!B22)</f>
        <v>DEUDAS POR PAGAR</v>
      </c>
      <c r="B19" s="28">
        <f>IF(OR(ISNUMBER(FIND("-CT-",'Libro Diario 1'!C22)),ISNUMBER(FIND("-CE-",'Libro Diario 1'!C22)), ISNUMBER(FIND("-CI-",'Libro Diario 1'!C22)), ISNUMBER(FIND("Glosa", 'Libro Diario 1'!C22))), "", 'Libro Diario 1'!C22)</f>
        <v>4000</v>
      </c>
      <c r="C19" s="28">
        <f>IF(OR(ISNUMBER(FIND("-CT-",'Libro Diario 1'!D22)),ISNUMBER(FIND("-CE-",'Libro Diario 1'!D22)), ISNUMBER(FIND("-CI-",'Libro Diario 1'!D22)), ISNUMBER(FIND("Glosa", 'Libro Diario 1'!D22))), "", 'Libro Diario 1'!D22)</f>
        <v>0</v>
      </c>
    </row>
    <row r="20" spans="1:7" x14ac:dyDescent="0.3">
      <c r="A20" s="29" t="str">
        <f>IF(OR(ISNUMBER(FIND("-CT-",'Libro Diario 1'!B23)),ISNUMBER(FIND("-CE-",'Libro Diario 1'!B23)), ISNUMBER(FIND("-CI-",'Libro Diario 1'!B23)), ISNUMBER(FIND("Glosa", 'Libro Diario 1'!B23))), "", 'Libro Diario 1'!B23)</f>
        <v>BANCO GANADERO M/N</v>
      </c>
      <c r="B20" s="28">
        <f>IF(OR(ISNUMBER(FIND("-CT-",'Libro Diario 1'!C23)),ISNUMBER(FIND("-CE-",'Libro Diario 1'!C23)), ISNUMBER(FIND("-CI-",'Libro Diario 1'!C23)), ISNUMBER(FIND("Glosa", 'Libro Diario 1'!C23))), "", 'Libro Diario 1'!C23)</f>
        <v>0</v>
      </c>
      <c r="C20" s="28">
        <f>IF(OR(ISNUMBER(FIND("-CT-",'Libro Diario 1'!D23)),ISNUMBER(FIND("-CE-",'Libro Diario 1'!D23)), ISNUMBER(FIND("-CI-",'Libro Diario 1'!D23)), ISNUMBER(FIND("Glosa", 'Libro Diario 1'!D23))), "", 'Libro Diario 1'!D23)</f>
        <v>4000</v>
      </c>
    </row>
    <row r="21" spans="1:7" x14ac:dyDescent="0.3">
      <c r="A21" s="29" t="str">
        <f>IF(OR(ISNUMBER(FIND("-CT-",'Libro Diario 1'!B24)),ISNUMBER(FIND("-CE-",'Libro Diario 1'!B24)), ISNUMBER(FIND("-CI-",'Libro Diario 1'!B24)), ISNUMBER(FIND("Glosa", 'Libro Diario 1'!B24))), "", 'Libro Diario 1'!B24)</f>
        <v/>
      </c>
      <c r="B21" s="28">
        <f>IF(OR(ISNUMBER(FIND("-CT-",'Libro Diario 1'!C24)),ISNUMBER(FIND("-CE-",'Libro Diario 1'!C24)), ISNUMBER(FIND("-CI-",'Libro Diario 1'!C24)), ISNUMBER(FIND("Glosa", 'Libro Diario 1'!C24))), "", 'Libro Diario 1'!C24)</f>
        <v>0</v>
      </c>
      <c r="C21" s="28">
        <f>IF(OR(ISNUMBER(FIND("-CT-",'Libro Diario 1'!D24)),ISNUMBER(FIND("-CE-",'Libro Diario 1'!D24)), ISNUMBER(FIND("-CI-",'Libro Diario 1'!D24)), ISNUMBER(FIND("Glosa", 'Libro Diario 1'!D24))), "", 'Libro Diario 1'!D24)</f>
        <v>0</v>
      </c>
    </row>
    <row r="22" spans="1:7" x14ac:dyDescent="0.3">
      <c r="A22" s="29" t="str">
        <f>IF(OR(ISNUMBER(FIND("-CT-",'Libro Diario 1'!B25)),ISNUMBER(FIND("-CE-",'Libro Diario 1'!B25)), ISNUMBER(FIND("-CI-",'Libro Diario 1'!B25)), ISNUMBER(FIND("Glosa", 'Libro Diario 1'!B25))), "", 'Libro Diario 1'!B25)</f>
        <v/>
      </c>
      <c r="B22" s="28">
        <f>IF(OR(ISNUMBER(FIND("-CT-",'Libro Diario 1'!C25)),ISNUMBER(FIND("-CE-",'Libro Diario 1'!C25)), ISNUMBER(FIND("-CI-",'Libro Diario 1'!C25)), ISNUMBER(FIND("Glosa", 'Libro Diario 1'!C25))), "", 'Libro Diario 1'!C25)</f>
        <v>0</v>
      </c>
      <c r="C22" s="28">
        <f>IF(OR(ISNUMBER(FIND("-CT-",'Libro Diario 1'!D25)),ISNUMBER(FIND("-CE-",'Libro Diario 1'!D25)), ISNUMBER(FIND("-CI-",'Libro Diario 1'!D25)), ISNUMBER(FIND("Glosa", 'Libro Diario 1'!D25))), "", 'Libro Diario 1'!D25)</f>
        <v>0</v>
      </c>
    </row>
    <row r="23" spans="1:7" x14ac:dyDescent="0.3">
      <c r="A23" s="29" t="str">
        <f>IF(OR(ISNUMBER(FIND("-CT-",'Libro Diario 1'!B26)),ISNUMBER(FIND("-CE-",'Libro Diario 1'!B26)), ISNUMBER(FIND("-CI-",'Libro Diario 1'!B26)), ISNUMBER(FIND("Glosa", 'Libro Diario 1'!B26))), "", 'Libro Diario 1'!B26)</f>
        <v>INVENTARIO DE MERCADERIAS</v>
      </c>
      <c r="B23" s="28">
        <f>IF(OR(ISNUMBER(FIND("-CT-",'Libro Diario 1'!C26)),ISNUMBER(FIND("-CE-",'Libro Diario 1'!C26)), ISNUMBER(FIND("-CI-",'Libro Diario 1'!C26)), ISNUMBER(FIND("Glosa", 'Libro Diario 1'!C26))), "", 'Libro Diario 1'!C26)</f>
        <v>7830</v>
      </c>
      <c r="C23" s="28">
        <f>IF(OR(ISNUMBER(FIND("-CT-",'Libro Diario 1'!D26)),ISNUMBER(FIND("-CE-",'Libro Diario 1'!D26)), ISNUMBER(FIND("-CI-",'Libro Diario 1'!D26)), ISNUMBER(FIND("Glosa", 'Libro Diario 1'!D26))), "", 'Libro Diario 1'!D26)</f>
        <v>0</v>
      </c>
    </row>
    <row r="24" spans="1:7" x14ac:dyDescent="0.3">
      <c r="A24" s="29" t="str">
        <f>IF(OR(ISNUMBER(FIND("-CT-",'Libro Diario 1'!B27)),ISNUMBER(FIND("-CE-",'Libro Diario 1'!B27)), ISNUMBER(FIND("-CI-",'Libro Diario 1'!B27)), ISNUMBER(FIND("Glosa", 'Libro Diario 1'!B27))), "", 'Libro Diario 1'!B27)</f>
        <v>CREDITO FISCAL</v>
      </c>
      <c r="B24" s="28">
        <f>IF(OR(ISNUMBER(FIND("-CT-",'Libro Diario 1'!C27)),ISNUMBER(FIND("-CE-",'Libro Diario 1'!C27)), ISNUMBER(FIND("-CI-",'Libro Diario 1'!C27)), ISNUMBER(FIND("Glosa", 'Libro Diario 1'!C27))), "", 'Libro Diario 1'!C27)</f>
        <v>1170</v>
      </c>
      <c r="C24" s="28">
        <f>IF(OR(ISNUMBER(FIND("-CT-",'Libro Diario 1'!D27)),ISNUMBER(FIND("-CE-",'Libro Diario 1'!D27)), ISNUMBER(FIND("-CI-",'Libro Diario 1'!D27)), ISNUMBER(FIND("Glosa", 'Libro Diario 1'!D27))), "", 'Libro Diario 1'!D27)</f>
        <v>0</v>
      </c>
    </row>
    <row r="25" spans="1:7" x14ac:dyDescent="0.3">
      <c r="A25" s="29" t="str">
        <f>IF(OR(ISNUMBER(FIND("-CT-",'Libro Diario 1'!B28)),ISNUMBER(FIND("-CE-",'Libro Diario 1'!B28)), ISNUMBER(FIND("-CI-",'Libro Diario 1'!B28)), ISNUMBER(FIND("Glosa", 'Libro Diario 1'!B28))), "", 'Libro Diario 1'!B28)</f>
        <v>DEUDAS POR PAGAR</v>
      </c>
      <c r="B25" s="28">
        <f>IF(OR(ISNUMBER(FIND("-CT-",'Libro Diario 1'!C28)),ISNUMBER(FIND("-CE-",'Libro Diario 1'!C28)), ISNUMBER(FIND("-CI-",'Libro Diario 1'!C28)), ISNUMBER(FIND("Glosa", 'Libro Diario 1'!C28))), "", 'Libro Diario 1'!C28)</f>
        <v>0</v>
      </c>
      <c r="C25" s="28">
        <f>IF(OR(ISNUMBER(FIND("-CT-",'Libro Diario 1'!D28)),ISNUMBER(FIND("-CE-",'Libro Diario 1'!D28)), ISNUMBER(FIND("-CI-",'Libro Diario 1'!D28)), ISNUMBER(FIND("Glosa", 'Libro Diario 1'!D28))), "", 'Libro Diario 1'!D28)</f>
        <v>9000</v>
      </c>
    </row>
    <row r="26" spans="1:7" x14ac:dyDescent="0.3">
      <c r="A26" s="29" t="str">
        <f>IF(OR(ISNUMBER(FIND("-CT-",'Libro Diario 1'!B29)),ISNUMBER(FIND("-CE-",'Libro Diario 1'!B29)), ISNUMBER(FIND("-CI-",'Libro Diario 1'!B29)), ISNUMBER(FIND("Glosa", 'Libro Diario 1'!B29))), "", 'Libro Diario 1'!B29)</f>
        <v/>
      </c>
      <c r="B26" s="28">
        <f>IF(OR(ISNUMBER(FIND("-CT-",'Libro Diario 1'!C29)),ISNUMBER(FIND("-CE-",'Libro Diario 1'!C29)), ISNUMBER(FIND("-CI-",'Libro Diario 1'!C29)), ISNUMBER(FIND("Glosa", 'Libro Diario 1'!C29))), "", 'Libro Diario 1'!C29)</f>
        <v>0</v>
      </c>
      <c r="C26" s="28">
        <f>IF(OR(ISNUMBER(FIND("-CT-",'Libro Diario 1'!D29)),ISNUMBER(FIND("-CE-",'Libro Diario 1'!D29)), ISNUMBER(FIND("-CI-",'Libro Diario 1'!D29)), ISNUMBER(FIND("Glosa", 'Libro Diario 1'!D29))), "", 'Libro Diario 1'!D29)</f>
        <v>0</v>
      </c>
    </row>
    <row r="27" spans="1:7" x14ac:dyDescent="0.3">
      <c r="A27" s="29" t="str">
        <f>IF(OR(ISNUMBER(FIND("-CT-",'Libro Diario 1'!B30)),ISNUMBER(FIND("-CE-",'Libro Diario 1'!B30)), ISNUMBER(FIND("-CI-",'Libro Diario 1'!B30)), ISNUMBER(FIND("Glosa", 'Libro Diario 1'!B30))), "", 'Libro Diario 1'!B30)</f>
        <v/>
      </c>
      <c r="B27" s="28">
        <f>IF(OR(ISNUMBER(FIND("-CT-",'Libro Diario 1'!C30)),ISNUMBER(FIND("-CE-",'Libro Diario 1'!C30)), ISNUMBER(FIND("-CI-",'Libro Diario 1'!C30)), ISNUMBER(FIND("Glosa", 'Libro Diario 1'!C30))), "", 'Libro Diario 1'!C30)</f>
        <v>0</v>
      </c>
      <c r="C27" s="28">
        <f>IF(OR(ISNUMBER(FIND("-CT-",'Libro Diario 1'!D30)),ISNUMBER(FIND("-CE-",'Libro Diario 1'!D30)), ISNUMBER(FIND("-CI-",'Libro Diario 1'!D30)), ISNUMBER(FIND("Glosa", 'Libro Diario 1'!D30))), "", 'Libro Diario 1'!D30)</f>
        <v>0</v>
      </c>
    </row>
    <row r="28" spans="1:7" x14ac:dyDescent="0.3">
      <c r="A28" s="29" t="str">
        <f>IF(OR(ISNUMBER(FIND("-CT-",'Libro Diario 1'!B31)),ISNUMBER(FIND("-CE-",'Libro Diario 1'!B31)), ISNUMBER(FIND("-CI-",'Libro Diario 1'!B31)), ISNUMBER(FIND("Glosa", 'Libro Diario 1'!B31))), "", 'Libro Diario 1'!B31)</f>
        <v>CAJA M/N</v>
      </c>
      <c r="B28" s="28">
        <f>IF(OR(ISNUMBER(FIND("-CT-",'Libro Diario 1'!C31)),ISNUMBER(FIND("-CE-",'Libro Diario 1'!C31)), ISNUMBER(FIND("-CI-",'Libro Diario 1'!C31)), ISNUMBER(FIND("Glosa", 'Libro Diario 1'!C31))), "", 'Libro Diario 1'!C31)</f>
        <v>8000</v>
      </c>
      <c r="C28" s="28">
        <f>IF(OR(ISNUMBER(FIND("-CT-",'Libro Diario 1'!D31)),ISNUMBER(FIND("-CE-",'Libro Diario 1'!D31)), ISNUMBER(FIND("-CI-",'Libro Diario 1'!D31)), ISNUMBER(FIND("Glosa", 'Libro Diario 1'!D31))), "", 'Libro Diario 1'!D31)</f>
        <v>0</v>
      </c>
    </row>
    <row r="29" spans="1:7" x14ac:dyDescent="0.3">
      <c r="A29" s="29" t="str">
        <f>IF(OR(ISNUMBER(FIND("-CT-",'Libro Diario 1'!B32)),ISNUMBER(FIND("-CE-",'Libro Diario 1'!B32)), ISNUMBER(FIND("-CI-",'Libro Diario 1'!B32)), ISNUMBER(FIND("Glosa", 'Libro Diario 1'!B32))), "", 'Libro Diario 1'!B32)</f>
        <v>DOCUMENTOS POR COBRAR</v>
      </c>
      <c r="B29" s="28">
        <f>IF(OR(ISNUMBER(FIND("-CT-",'Libro Diario 1'!C32)),ISNUMBER(FIND("-CE-",'Libro Diario 1'!C32)), ISNUMBER(FIND("-CI-",'Libro Diario 1'!C32)), ISNUMBER(FIND("Glosa", 'Libro Diario 1'!C32))), "", 'Libro Diario 1'!C32)</f>
        <v>2000</v>
      </c>
      <c r="C29" s="28">
        <f>IF(OR(ISNUMBER(FIND("-CT-",'Libro Diario 1'!D32)),ISNUMBER(FIND("-CE-",'Libro Diario 1'!D32)), ISNUMBER(FIND("-CI-",'Libro Diario 1'!D32)), ISNUMBER(FIND("Glosa", 'Libro Diario 1'!D32))), "", 'Libro Diario 1'!D32)</f>
        <v>0</v>
      </c>
    </row>
    <row r="30" spans="1:7" x14ac:dyDescent="0.3">
      <c r="A30" s="29" t="str">
        <f>IF(OR(ISNUMBER(FIND("-CT-",'Libro Diario 1'!B33)),ISNUMBER(FIND("-CE-",'Libro Diario 1'!B33)), ISNUMBER(FIND("-CI-",'Libro Diario 1'!B33)), ISNUMBER(FIND("Glosa", 'Libro Diario 1'!B33))), "", 'Libro Diario 1'!B33)</f>
        <v>IMPUESTO A LAS TRANSACCIONES</v>
      </c>
      <c r="B30" s="28">
        <f>IF(OR(ISNUMBER(FIND("-CT-",'Libro Diario 1'!C33)),ISNUMBER(FIND("-CE-",'Libro Diario 1'!C33)), ISNUMBER(FIND("-CI-",'Libro Diario 1'!C33)), ISNUMBER(FIND("Glosa", 'Libro Diario 1'!C33))), "", 'Libro Diario 1'!C33)</f>
        <v>300</v>
      </c>
      <c r="C30" s="28">
        <f>IF(OR(ISNUMBER(FIND("-CT-",'Libro Diario 1'!D33)),ISNUMBER(FIND("-CE-",'Libro Diario 1'!D33)), ISNUMBER(FIND("-CI-",'Libro Diario 1'!D33)), ISNUMBER(FIND("Glosa", 'Libro Diario 1'!D33))), "", 'Libro Diario 1'!D33)</f>
        <v>0</v>
      </c>
    </row>
    <row r="31" spans="1:7" x14ac:dyDescent="0.3">
      <c r="A31" s="29" t="str">
        <f>IF(OR(ISNUMBER(FIND("-CT-",'Libro Diario 1'!B34)),ISNUMBER(FIND("-CE-",'Libro Diario 1'!B34)), ISNUMBER(FIND("-CI-",'Libro Diario 1'!B34)), ISNUMBER(FIND("Glosa", 'Libro Diario 1'!B34))), "", 'Libro Diario 1'!B34)</f>
        <v>VENTAS</v>
      </c>
      <c r="B31" s="28">
        <f>IF(OR(ISNUMBER(FIND("-CT-",'Libro Diario 1'!C34)),ISNUMBER(FIND("-CE-",'Libro Diario 1'!C34)), ISNUMBER(FIND("-CI-",'Libro Diario 1'!C34)), ISNUMBER(FIND("Glosa", 'Libro Diario 1'!C34))), "", 'Libro Diario 1'!C34)</f>
        <v>0</v>
      </c>
      <c r="C31" s="28">
        <f>IF(OR(ISNUMBER(FIND("-CT-",'Libro Diario 1'!D34)),ISNUMBER(FIND("-CE-",'Libro Diario 1'!D34)), ISNUMBER(FIND("-CI-",'Libro Diario 1'!D34)), ISNUMBER(FIND("Glosa", 'Libro Diario 1'!D34))), "", 'Libro Diario 1'!D34)</f>
        <v>8700</v>
      </c>
    </row>
    <row r="32" spans="1:7" x14ac:dyDescent="0.3">
      <c r="A32" s="29" t="str">
        <f>IF(OR(ISNUMBER(FIND("-CT-",'Libro Diario 1'!B35)),ISNUMBER(FIND("-CE-",'Libro Diario 1'!B35)), ISNUMBER(FIND("-CI-",'Libro Diario 1'!B35)), ISNUMBER(FIND("Glosa", 'Libro Diario 1'!B35))), "", 'Libro Diario 1'!B35)</f>
        <v>DEBITO FISCAL</v>
      </c>
      <c r="B32" s="28">
        <f>IF(OR(ISNUMBER(FIND("-CT-",'Libro Diario 1'!C35)),ISNUMBER(FIND("-CE-",'Libro Diario 1'!C35)), ISNUMBER(FIND("-CI-",'Libro Diario 1'!C35)), ISNUMBER(FIND("Glosa", 'Libro Diario 1'!C35))), "", 'Libro Diario 1'!C35)</f>
        <v>0</v>
      </c>
      <c r="C32" s="28">
        <f>IF(OR(ISNUMBER(FIND("-CT-",'Libro Diario 1'!D35)),ISNUMBER(FIND("-CE-",'Libro Diario 1'!D35)), ISNUMBER(FIND("-CI-",'Libro Diario 1'!D35)), ISNUMBER(FIND("Glosa", 'Libro Diario 1'!D35))), "", 'Libro Diario 1'!D35)</f>
        <v>1300</v>
      </c>
    </row>
    <row r="33" spans="1:3" x14ac:dyDescent="0.3">
      <c r="A33" s="29" t="str">
        <f>IF(OR(ISNUMBER(FIND("-CT-",'Libro Diario 1'!B36)),ISNUMBER(FIND("-CE-",'Libro Diario 1'!B36)), ISNUMBER(FIND("-CI-",'Libro Diario 1'!B36)), ISNUMBER(FIND("Glosa", 'Libro Diario 1'!B36))), "", 'Libro Diario 1'!B36)</f>
        <v>IT POR PAGAR</v>
      </c>
      <c r="B33" s="28">
        <f>IF(OR(ISNUMBER(FIND("-CT-",'Libro Diario 1'!C36)),ISNUMBER(FIND("-CE-",'Libro Diario 1'!C36)), ISNUMBER(FIND("-CI-",'Libro Diario 1'!C36)), ISNUMBER(FIND("Glosa", 'Libro Diario 1'!C36))), "", 'Libro Diario 1'!C36)</f>
        <v>0</v>
      </c>
      <c r="C33" s="28">
        <f>IF(OR(ISNUMBER(FIND("-CT-",'Libro Diario 1'!D36)),ISNUMBER(FIND("-CE-",'Libro Diario 1'!D36)), ISNUMBER(FIND("-CI-",'Libro Diario 1'!D36)), ISNUMBER(FIND("Glosa", 'Libro Diario 1'!D36))), "", 'Libro Diario 1'!D36)</f>
        <v>300</v>
      </c>
    </row>
    <row r="34" spans="1:3" x14ac:dyDescent="0.3">
      <c r="A34" s="29" t="str">
        <f>IF(OR(ISNUMBER(FIND("-CT-",'Libro Diario 1'!B37)),ISNUMBER(FIND("-CE-",'Libro Diario 1'!B37)), ISNUMBER(FIND("-CI-",'Libro Diario 1'!B37)), ISNUMBER(FIND("Glosa", 'Libro Diario 1'!B37))), "", 'Libro Diario 1'!B37)</f>
        <v/>
      </c>
      <c r="B34" s="28">
        <f>IF(OR(ISNUMBER(FIND("-CT-",'Libro Diario 1'!C37)),ISNUMBER(FIND("-CE-",'Libro Diario 1'!C37)), ISNUMBER(FIND("-CI-",'Libro Diario 1'!C37)), ISNUMBER(FIND("Glosa", 'Libro Diario 1'!C37))), "", 'Libro Diario 1'!C37)</f>
        <v>0</v>
      </c>
      <c r="C34" s="28">
        <f>IF(OR(ISNUMBER(FIND("-CT-",'Libro Diario 1'!D37)),ISNUMBER(FIND("-CE-",'Libro Diario 1'!D37)), ISNUMBER(FIND("-CI-",'Libro Diario 1'!D37)), ISNUMBER(FIND("Glosa", 'Libro Diario 1'!D37))), "", 'Libro Diario 1'!D37)</f>
        <v>0</v>
      </c>
    </row>
    <row r="35" spans="1:3" x14ac:dyDescent="0.3">
      <c r="A35" s="29" t="str">
        <f>IF(OR(ISNUMBER(FIND("-CT-",'Libro Diario 1'!B38)),ISNUMBER(FIND("-CE-",'Libro Diario 1'!B38)), ISNUMBER(FIND("-CI-",'Libro Diario 1'!B38)), ISNUMBER(FIND("Glosa", 'Libro Diario 1'!B38))), "", 'Libro Diario 1'!B38)</f>
        <v/>
      </c>
      <c r="B35" s="28">
        <f>IF(OR(ISNUMBER(FIND("-CT-",'Libro Diario 1'!C38)),ISNUMBER(FIND("-CE-",'Libro Diario 1'!C38)), ISNUMBER(FIND("-CI-",'Libro Diario 1'!C38)), ISNUMBER(FIND("Glosa", 'Libro Diario 1'!C38))), "", 'Libro Diario 1'!C38)</f>
        <v>0</v>
      </c>
      <c r="C35" s="28">
        <f>IF(OR(ISNUMBER(FIND("-CT-",'Libro Diario 1'!D38)),ISNUMBER(FIND("-CE-",'Libro Diario 1'!D38)), ISNUMBER(FIND("-CI-",'Libro Diario 1'!D38)), ISNUMBER(FIND("Glosa", 'Libro Diario 1'!D38))), "", 'Libro Diario 1'!D38)</f>
        <v>0</v>
      </c>
    </row>
    <row r="36" spans="1:3" x14ac:dyDescent="0.3">
      <c r="A36" s="29" t="str">
        <f>IF(OR(ISNUMBER(FIND("-CT-",'Libro Diario 1'!B39)),ISNUMBER(FIND("-CE-",'Libro Diario 1'!B39)), ISNUMBER(FIND("-CI-",'Libro Diario 1'!B39)), ISNUMBER(FIND("Glosa", 'Libro Diario 1'!B39))), "", 'Libro Diario 1'!B39)</f>
        <v>MANTENIMIENTO MOBILIARIO</v>
      </c>
      <c r="B36" s="28">
        <f>IF(OR(ISNUMBER(FIND("-CT-",'Libro Diario 1'!C39)),ISNUMBER(FIND("-CE-",'Libro Diario 1'!C39)), ISNUMBER(FIND("-CI-",'Libro Diario 1'!C39)), ISNUMBER(FIND("Glosa", 'Libro Diario 1'!C39))), "", 'Libro Diario 1'!C39)</f>
        <v>70</v>
      </c>
      <c r="C36" s="28">
        <f>IF(OR(ISNUMBER(FIND("-CT-",'Libro Diario 1'!D39)),ISNUMBER(FIND("-CE-",'Libro Diario 1'!D39)), ISNUMBER(FIND("-CI-",'Libro Diario 1'!D39)), ISNUMBER(FIND("Glosa", 'Libro Diario 1'!D39))), "", 'Libro Diario 1'!D39)</f>
        <v>0</v>
      </c>
    </row>
    <row r="37" spans="1:3" x14ac:dyDescent="0.3">
      <c r="A37" s="29" t="str">
        <f>IF(OR(ISNUMBER(FIND("-CT-",'Libro Diario 1'!B40)),ISNUMBER(FIND("-CE-",'Libro Diario 1'!B40)), ISNUMBER(FIND("-CI-",'Libro Diario 1'!B40)), ISNUMBER(FIND("Glosa", 'Libro Diario 1'!B40))), "", 'Libro Diario 1'!B40)</f>
        <v>CREDITO FISCAL</v>
      </c>
      <c r="B37" s="28">
        <f>IF(OR(ISNUMBER(FIND("-CT-",'Libro Diario 1'!C40)),ISNUMBER(FIND("-CE-",'Libro Diario 1'!C40)), ISNUMBER(FIND("-CI-",'Libro Diario 1'!C40)), ISNUMBER(FIND("Glosa", 'Libro Diario 1'!C40))), "", 'Libro Diario 1'!C40)</f>
        <v>30</v>
      </c>
      <c r="C37" s="28">
        <f>IF(OR(ISNUMBER(FIND("-CT-",'Libro Diario 1'!D40)),ISNUMBER(FIND("-CE-",'Libro Diario 1'!D40)), ISNUMBER(FIND("-CI-",'Libro Diario 1'!D40)), ISNUMBER(FIND("Glosa", 'Libro Diario 1'!D40))), "", 'Libro Diario 1'!D40)</f>
        <v>0</v>
      </c>
    </row>
    <row r="38" spans="1:3" x14ac:dyDescent="0.3">
      <c r="A38" s="29" t="str">
        <f>IF(OR(ISNUMBER(FIND("-CT-",'Libro Diario 1'!B41)),ISNUMBER(FIND("-CE-",'Libro Diario 1'!B41)), ISNUMBER(FIND("-CI-",'Libro Diario 1'!B41)), ISNUMBER(FIND("Glosa", 'Libro Diario 1'!B41))), "", 'Libro Diario 1'!B41)</f>
        <v>CAJA M/N</v>
      </c>
      <c r="B38" s="28">
        <f>IF(OR(ISNUMBER(FIND("-CT-",'Libro Diario 1'!C41)),ISNUMBER(FIND("-CE-",'Libro Diario 1'!C41)), ISNUMBER(FIND("-CI-",'Libro Diario 1'!C41)), ISNUMBER(FIND("Glosa", 'Libro Diario 1'!C41))), "", 'Libro Diario 1'!C41)</f>
        <v>0</v>
      </c>
      <c r="C38" s="28">
        <f>IF(OR(ISNUMBER(FIND("-CT-",'Libro Diario 1'!D41)),ISNUMBER(FIND("-CE-",'Libro Diario 1'!D41)), ISNUMBER(FIND("-CI-",'Libro Diario 1'!D41)), ISNUMBER(FIND("Glosa", 'Libro Diario 1'!D41))), "", 'Libro Diario 1'!D41)</f>
        <v>100</v>
      </c>
    </row>
    <row r="39" spans="1:3" x14ac:dyDescent="0.3">
      <c r="A39" s="29" t="str">
        <f>IF(OR(ISNUMBER(FIND("-CT-",'Libro Diario 1'!B42)),ISNUMBER(FIND("-CE-",'Libro Diario 1'!B42)), ISNUMBER(FIND("-CI-",'Libro Diario 1'!B42)), ISNUMBER(FIND("Glosa", 'Libro Diario 1'!B42))), "", 'Libro Diario 1'!B42)</f>
        <v/>
      </c>
      <c r="B39" s="28">
        <f>IF(OR(ISNUMBER(FIND("-CT-",'Libro Diario 1'!C42)),ISNUMBER(FIND("-CE-",'Libro Diario 1'!C42)), ISNUMBER(FIND("-CI-",'Libro Diario 1'!C42)), ISNUMBER(FIND("Glosa", 'Libro Diario 1'!C42))), "", 'Libro Diario 1'!C42)</f>
        <v>0</v>
      </c>
      <c r="C39" s="28">
        <f>IF(OR(ISNUMBER(FIND("-CT-",'Libro Diario 1'!D42)),ISNUMBER(FIND("-CE-",'Libro Diario 1'!D42)), ISNUMBER(FIND("-CI-",'Libro Diario 1'!D42)), ISNUMBER(FIND("Glosa", 'Libro Diario 1'!D42))), "", 'Libro Diario 1'!D42)</f>
        <v>0</v>
      </c>
    </row>
    <row r="40" spans="1:3" x14ac:dyDescent="0.3">
      <c r="A40" s="29" t="str">
        <f>IF(OR(ISNUMBER(FIND("-CT-",'Libro Diario 1'!B43)),ISNUMBER(FIND("-CE-",'Libro Diario 1'!B43)), ISNUMBER(FIND("-CI-",'Libro Diario 1'!B43)), ISNUMBER(FIND("Glosa", 'Libro Diario 1'!B43))), "", 'Libro Diario 1'!B43)</f>
        <v/>
      </c>
      <c r="B40" s="28">
        <f>IF(OR(ISNUMBER(FIND("-CT-",'Libro Diario 1'!C43)),ISNUMBER(FIND("-CE-",'Libro Diario 1'!C43)), ISNUMBER(FIND("-CI-",'Libro Diario 1'!C43)), ISNUMBER(FIND("Glosa", 'Libro Diario 1'!C43))), "", 'Libro Diario 1'!C43)</f>
        <v>0</v>
      </c>
      <c r="C40" s="28">
        <f>IF(OR(ISNUMBER(FIND("-CT-",'Libro Diario 1'!D43)),ISNUMBER(FIND("-CE-",'Libro Diario 1'!D43)), ISNUMBER(FIND("-CI-",'Libro Diario 1'!D43)), ISNUMBER(FIND("Glosa", 'Libro Diario 1'!D43))), "", 'Libro Diario 1'!D43)</f>
        <v>0</v>
      </c>
    </row>
    <row r="41" spans="1:3" x14ac:dyDescent="0.3">
      <c r="A41" s="29" t="str">
        <f>IF(OR(ISNUMBER(FIND("-CT-",'Libro Diario 1'!B44)),ISNUMBER(FIND("-CE-",'Libro Diario 1'!B44)), ISNUMBER(FIND("-CI-",'Libro Diario 1'!B44)), ISNUMBER(FIND("Glosa", 'Libro Diario 1'!B44))), "", 'Libro Diario 1'!B44)</f>
        <v>MUEBLES Y ENSERES</v>
      </c>
      <c r="B41" s="28">
        <f>IF(OR(ISNUMBER(FIND("-CT-",'Libro Diario 1'!C44)),ISNUMBER(FIND("-CE-",'Libro Diario 1'!C44)), ISNUMBER(FIND("-CI-",'Libro Diario 1'!C44)), ISNUMBER(FIND("Glosa", 'Libro Diario 1'!C44))), "", 'Libro Diario 1'!C44)</f>
        <v>1305</v>
      </c>
      <c r="C41" s="28">
        <f>IF(OR(ISNUMBER(FIND("-CT-",'Libro Diario 1'!D44)),ISNUMBER(FIND("-CE-",'Libro Diario 1'!D44)), ISNUMBER(FIND("-CI-",'Libro Diario 1'!D44)), ISNUMBER(FIND("Glosa", 'Libro Diario 1'!D44))), "", 'Libro Diario 1'!D44)</f>
        <v>0</v>
      </c>
    </row>
    <row r="42" spans="1:3" x14ac:dyDescent="0.3">
      <c r="A42" s="29" t="str">
        <f>IF(OR(ISNUMBER(FIND("-CT-",'Libro Diario 1'!B45)),ISNUMBER(FIND("-CE-",'Libro Diario 1'!B45)), ISNUMBER(FIND("-CI-",'Libro Diario 1'!B45)), ISNUMBER(FIND("Glosa", 'Libro Diario 1'!B45))), "", 'Libro Diario 1'!B45)</f>
        <v>CREDITO FISCAL</v>
      </c>
      <c r="B42" s="28">
        <f>IF(OR(ISNUMBER(FIND("-CT-",'Libro Diario 1'!C45)),ISNUMBER(FIND("-CE-",'Libro Diario 1'!C45)), ISNUMBER(FIND("-CI-",'Libro Diario 1'!C45)), ISNUMBER(FIND("Glosa", 'Libro Diario 1'!C45))), "", 'Libro Diario 1'!C45)</f>
        <v>195</v>
      </c>
      <c r="C42" s="28">
        <f>IF(OR(ISNUMBER(FIND("-CT-",'Libro Diario 1'!D45)),ISNUMBER(FIND("-CE-",'Libro Diario 1'!D45)), ISNUMBER(FIND("-CI-",'Libro Diario 1'!D45)), ISNUMBER(FIND("Glosa", 'Libro Diario 1'!D45))), "", 'Libro Diario 1'!D45)</f>
        <v>0</v>
      </c>
    </row>
    <row r="43" spans="1:3" x14ac:dyDescent="0.3">
      <c r="A43" s="29" t="str">
        <f>IF(OR(ISNUMBER(FIND("-CT-",'Libro Diario 1'!B46)),ISNUMBER(FIND("-CE-",'Libro Diario 1'!B46)), ISNUMBER(FIND("-CI-",'Libro Diario 1'!B46)), ISNUMBER(FIND("Glosa", 'Libro Diario 1'!B46))), "", 'Libro Diario 1'!B46)</f>
        <v>CAJA M/N</v>
      </c>
      <c r="B43" s="28">
        <f>IF(OR(ISNUMBER(FIND("-CT-",'Libro Diario 1'!C46)),ISNUMBER(FIND("-CE-",'Libro Diario 1'!C46)), ISNUMBER(FIND("-CI-",'Libro Diario 1'!C46)), ISNUMBER(FIND("Glosa", 'Libro Diario 1'!C46))), "", 'Libro Diario 1'!C46)</f>
        <v>0</v>
      </c>
      <c r="C43" s="28">
        <f>IF(OR(ISNUMBER(FIND("-CT-",'Libro Diario 1'!D46)),ISNUMBER(FIND("-CE-",'Libro Diario 1'!D46)), ISNUMBER(FIND("-CI-",'Libro Diario 1'!D46)), ISNUMBER(FIND("Glosa", 'Libro Diario 1'!D46))), "", 'Libro Diario 1'!D46)</f>
        <v>1500</v>
      </c>
    </row>
    <row r="44" spans="1:3" x14ac:dyDescent="0.3">
      <c r="A44" s="29" t="str">
        <f>IF(OR(ISNUMBER(FIND("-CT-",'Libro Diario 1'!B47)),ISNUMBER(FIND("-CE-",'Libro Diario 1'!B47)), ISNUMBER(FIND("-CI-",'Libro Diario 1'!B47)), ISNUMBER(FIND("Glosa", 'Libro Diario 1'!B47))), "", 'Libro Diario 1'!B47)</f>
        <v/>
      </c>
      <c r="B44" s="28">
        <f>IF(OR(ISNUMBER(FIND("-CT-",'Libro Diario 1'!C47)),ISNUMBER(FIND("-CE-",'Libro Diario 1'!C47)), ISNUMBER(FIND("-CI-",'Libro Diario 1'!C47)), ISNUMBER(FIND("Glosa", 'Libro Diario 1'!C47))), "", 'Libro Diario 1'!C47)</f>
        <v>0</v>
      </c>
      <c r="C44" s="28">
        <f>IF(OR(ISNUMBER(FIND("-CT-",'Libro Diario 1'!D47)),ISNUMBER(FIND("-CE-",'Libro Diario 1'!D47)), ISNUMBER(FIND("-CI-",'Libro Diario 1'!D47)), ISNUMBER(FIND("Glosa", 'Libro Diario 1'!D47))), "", 'Libro Diario 1'!D47)</f>
        <v>0</v>
      </c>
    </row>
    <row r="45" spans="1:3" x14ac:dyDescent="0.3">
      <c r="A45" s="29" t="str">
        <f>IF(OR(ISNUMBER(FIND("-CT-",'Libro Diario 1'!B48)),ISNUMBER(FIND("-CE-",'Libro Diario 1'!B48)), ISNUMBER(FIND("-CI-",'Libro Diario 1'!B48)), ISNUMBER(FIND("Glosa", 'Libro Diario 1'!B48))), "", 'Libro Diario 1'!B48)</f>
        <v/>
      </c>
      <c r="B45" s="28">
        <f>IF(OR(ISNUMBER(FIND("-CT-",'Libro Diario 1'!C48)),ISNUMBER(FIND("-CE-",'Libro Diario 1'!C48)), ISNUMBER(FIND("-CI-",'Libro Diario 1'!C48)), ISNUMBER(FIND("Glosa", 'Libro Diario 1'!C48))), "", 'Libro Diario 1'!C48)</f>
        <v>0</v>
      </c>
      <c r="C45" s="28">
        <f>IF(OR(ISNUMBER(FIND("-CT-",'Libro Diario 1'!D48)),ISNUMBER(FIND("-CE-",'Libro Diario 1'!D48)), ISNUMBER(FIND("-CI-",'Libro Diario 1'!D48)), ISNUMBER(FIND("Glosa", 'Libro Diario 1'!D48))), "", 'Libro Diario 1'!D48)</f>
        <v>0</v>
      </c>
    </row>
    <row r="46" spans="1:3" x14ac:dyDescent="0.3">
      <c r="A46" s="29" t="str">
        <f>IF(OR(ISNUMBER(FIND("-CT-",'Libro Diario 1'!B49)),ISNUMBER(FIND("-CE-",'Libro Diario 1'!B49)), ISNUMBER(FIND("-CI-",'Libro Diario 1'!B49)), ISNUMBER(FIND("Glosa", 'Libro Diario 1'!B49))), "", 'Libro Diario 1'!B49)</f>
        <v>CAJA M/N</v>
      </c>
      <c r="B46" s="28">
        <f>IF(OR(ISNUMBER(FIND("-CT-",'Libro Diario 1'!C49)),ISNUMBER(FIND("-CE-",'Libro Diario 1'!C49)), ISNUMBER(FIND("-CI-",'Libro Diario 1'!C49)), ISNUMBER(FIND("Glosa", 'Libro Diario 1'!C49))), "", 'Libro Diario 1'!C49)</f>
        <v>800</v>
      </c>
      <c r="C46" s="28">
        <f>IF(OR(ISNUMBER(FIND("-CT-",'Libro Diario 1'!D49)),ISNUMBER(FIND("-CE-",'Libro Diario 1'!D49)), ISNUMBER(FIND("-CI-",'Libro Diario 1'!D49)), ISNUMBER(FIND("Glosa", 'Libro Diario 1'!D49))), "", 'Libro Diario 1'!D49)</f>
        <v>0</v>
      </c>
    </row>
    <row r="47" spans="1:3" x14ac:dyDescent="0.3">
      <c r="A47" s="29" t="str">
        <f>IF(OR(ISNUMBER(FIND("-CT-",'Libro Diario 1'!B50)),ISNUMBER(FIND("-CE-",'Libro Diario 1'!B50)), ISNUMBER(FIND("-CI-",'Libro Diario 1'!B50)), ISNUMBER(FIND("Glosa", 'Libro Diario 1'!B50))), "", 'Libro Diario 1'!B50)</f>
        <v>BANCO GANADERO M/N</v>
      </c>
      <c r="B47" s="28">
        <f>IF(OR(ISNUMBER(FIND("-CT-",'Libro Diario 1'!C50)),ISNUMBER(FIND("-CE-",'Libro Diario 1'!C50)), ISNUMBER(FIND("-CI-",'Libro Diario 1'!C50)), ISNUMBER(FIND("Glosa", 'Libro Diario 1'!C50))), "", 'Libro Diario 1'!C50)</f>
        <v>0</v>
      </c>
      <c r="C47" s="28">
        <f>IF(OR(ISNUMBER(FIND("-CT-",'Libro Diario 1'!D50)),ISNUMBER(FIND("-CE-",'Libro Diario 1'!D50)), ISNUMBER(FIND("-CI-",'Libro Diario 1'!D50)), ISNUMBER(FIND("Glosa", 'Libro Diario 1'!D50))), "", 'Libro Diario 1'!D50)</f>
        <v>800</v>
      </c>
    </row>
    <row r="48" spans="1:3" x14ac:dyDescent="0.3">
      <c r="A48" s="29" t="str">
        <f>IF(OR(ISNUMBER(FIND("-CT-",'Libro Diario 1'!B51)),ISNUMBER(FIND("-CE-",'Libro Diario 1'!B51)), ISNUMBER(FIND("-CI-",'Libro Diario 1'!B51)), ISNUMBER(FIND("Glosa", 'Libro Diario 1'!B51))), "", 'Libro Diario 1'!B51)</f>
        <v/>
      </c>
      <c r="B48" s="28">
        <f>IF(OR(ISNUMBER(FIND("-CT-",'Libro Diario 1'!C51)),ISNUMBER(FIND("-CE-",'Libro Diario 1'!C51)), ISNUMBER(FIND("-CI-",'Libro Diario 1'!C51)), ISNUMBER(FIND("Glosa", 'Libro Diario 1'!C51))), "", 'Libro Diario 1'!C51)</f>
        <v>0</v>
      </c>
      <c r="C48" s="28">
        <f>IF(OR(ISNUMBER(FIND("-CT-",'Libro Diario 1'!D51)),ISNUMBER(FIND("-CE-",'Libro Diario 1'!D51)), ISNUMBER(FIND("-CI-",'Libro Diario 1'!D51)), ISNUMBER(FIND("Glosa", 'Libro Diario 1'!D51))), "", 'Libro Diario 1'!D51)</f>
        <v>0</v>
      </c>
    </row>
    <row r="49" spans="1:3" x14ac:dyDescent="0.3">
      <c r="A49" s="29" t="str">
        <f>IF(OR(ISNUMBER(FIND("-CT-",'Libro Diario 1'!B52)),ISNUMBER(FIND("-CE-",'Libro Diario 1'!B52)), ISNUMBER(FIND("-CI-",'Libro Diario 1'!B52)), ISNUMBER(FIND("Glosa", 'Libro Diario 1'!B52))), "", 'Libro Diario 1'!B52)</f>
        <v/>
      </c>
      <c r="B49" s="28">
        <f>IF(OR(ISNUMBER(FIND("-CT-",'Libro Diario 1'!C52)),ISNUMBER(FIND("-CE-",'Libro Diario 1'!C52)), ISNUMBER(FIND("-CI-",'Libro Diario 1'!C52)), ISNUMBER(FIND("Glosa", 'Libro Diario 1'!C52))), "", 'Libro Diario 1'!C52)</f>
        <v>0</v>
      </c>
      <c r="C49" s="28">
        <f>IF(OR(ISNUMBER(FIND("-CT-",'Libro Diario 1'!D52)),ISNUMBER(FIND("-CE-",'Libro Diario 1'!D52)), ISNUMBER(FIND("-CI-",'Libro Diario 1'!D52)), ISNUMBER(FIND("Glosa", 'Libro Diario 1'!D52))), "", 'Libro Diario 1'!D52)</f>
        <v>0</v>
      </c>
    </row>
    <row r="50" spans="1:3" x14ac:dyDescent="0.3">
      <c r="A50" s="29" t="str">
        <f>IF(OR(ISNUMBER(FIND("-CT-",'Libro Diario 1'!B53)),ISNUMBER(FIND("-CE-",'Libro Diario 1'!B53)), ISNUMBER(FIND("-CI-",'Libro Diario 1'!B53)), ISNUMBER(FIND("Glosa", 'Libro Diario 1'!B53))), "", 'Libro Diario 1'!B53)</f>
        <v>ALQUILER DE OFICINA</v>
      </c>
      <c r="B50" s="28">
        <f>IF(OR(ISNUMBER(FIND("-CT-",'Libro Diario 1'!C53)),ISNUMBER(FIND("-CE-",'Libro Diario 1'!C53)), ISNUMBER(FIND("-CI-",'Libro Diario 1'!C53)), ISNUMBER(FIND("Glosa", 'Libro Diario 1'!C53))), "", 'Libro Diario 1'!C53)</f>
        <v>1044</v>
      </c>
      <c r="C50" s="28">
        <f>IF(OR(ISNUMBER(FIND("-CT-",'Libro Diario 1'!D53)),ISNUMBER(FIND("-CE-",'Libro Diario 1'!D53)), ISNUMBER(FIND("-CI-",'Libro Diario 1'!D53)), ISNUMBER(FIND("Glosa", 'Libro Diario 1'!D53))), "", 'Libro Diario 1'!D53)</f>
        <v>0</v>
      </c>
    </row>
    <row r="51" spans="1:3" x14ac:dyDescent="0.3">
      <c r="A51" s="29" t="str">
        <f>IF(OR(ISNUMBER(FIND("-CT-",'Libro Diario 1'!B54)),ISNUMBER(FIND("-CE-",'Libro Diario 1'!B54)), ISNUMBER(FIND("-CI-",'Libro Diario 1'!B54)), ISNUMBER(FIND("Glosa", 'Libro Diario 1'!B54))), "", 'Libro Diario 1'!B54)</f>
        <v>CREDITO FISCAL</v>
      </c>
      <c r="B51" s="28">
        <f>IF(OR(ISNUMBER(FIND("-CT-",'Libro Diario 1'!C54)),ISNUMBER(FIND("-CE-",'Libro Diario 1'!C54)), ISNUMBER(FIND("-CI-",'Libro Diario 1'!C54)), ISNUMBER(FIND("Glosa", 'Libro Diario 1'!C54))), "", 'Libro Diario 1'!C54)</f>
        <v>156</v>
      </c>
      <c r="C51" s="28">
        <f>IF(OR(ISNUMBER(FIND("-CT-",'Libro Diario 1'!D54)),ISNUMBER(FIND("-CE-",'Libro Diario 1'!D54)), ISNUMBER(FIND("-CI-",'Libro Diario 1'!D54)), ISNUMBER(FIND("Glosa", 'Libro Diario 1'!D54))), "", 'Libro Diario 1'!D54)</f>
        <v>0</v>
      </c>
    </row>
    <row r="52" spans="1:3" x14ac:dyDescent="0.3">
      <c r="A52" s="29" t="str">
        <f>IF(OR(ISNUMBER(FIND("-CT-",'Libro Diario 1'!B55)),ISNUMBER(FIND("-CE-",'Libro Diario 1'!B55)), ISNUMBER(FIND("-CI-",'Libro Diario 1'!B55)), ISNUMBER(FIND("Glosa", 'Libro Diario 1'!B55))), "", 'Libro Diario 1'!B55)</f>
        <v>CAJA M/N</v>
      </c>
      <c r="B52" s="28">
        <f>IF(OR(ISNUMBER(FIND("-CT-",'Libro Diario 1'!C55)),ISNUMBER(FIND("-CE-",'Libro Diario 1'!C55)), ISNUMBER(FIND("-CI-",'Libro Diario 1'!C55)), ISNUMBER(FIND("Glosa", 'Libro Diario 1'!C55))), "", 'Libro Diario 1'!C55)</f>
        <v>0</v>
      </c>
      <c r="C52" s="28">
        <f>IF(OR(ISNUMBER(FIND("-CT-",'Libro Diario 1'!D55)),ISNUMBER(FIND("-CE-",'Libro Diario 1'!D55)), ISNUMBER(FIND("-CI-",'Libro Diario 1'!D55)), ISNUMBER(FIND("Glosa", 'Libro Diario 1'!D55))), "", 'Libro Diario 1'!D55)</f>
        <v>1200</v>
      </c>
    </row>
    <row r="53" spans="1:3" x14ac:dyDescent="0.3">
      <c r="B53" s="28">
        <f>IF(OR(ISNUMBER(FIND("-CT-",'Libro Diario 1'!C56)),ISNUMBER(FIND("-CE-",'Libro Diario 1'!C56)), ISNUMBER(FIND("-CI-",'Libro Diario 1'!C56)), ISNUMBER(FIND("Glosa", 'Libro Diario 1'!C56))), "", 'Libro Diario 1'!C56)</f>
        <v>0</v>
      </c>
      <c r="C53" s="28">
        <f>IF(OR(ISNUMBER(FIND("-CT-",'Libro Diario 1'!D56)),ISNUMBER(FIND("-CE-",'Libro Diario 1'!D56)), ISNUMBER(FIND("-CI-",'Libro Diario 1'!D56)), ISNUMBER(FIND("Glosa", 'Libro Diario 1'!D56))), "", 'Libro Diario 1'!D56)</f>
        <v>0</v>
      </c>
    </row>
    <row r="54" spans="1:3" x14ac:dyDescent="0.3">
      <c r="B54" s="2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4" s="28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4:U72"/>
  <sheetViews>
    <sheetView tabSelected="1" zoomScaleNormal="100" workbookViewId="0">
      <selection activeCell="A5" sqref="A5"/>
    </sheetView>
  </sheetViews>
  <sheetFormatPr baseColWidth="10" defaultColWidth="11.44140625" defaultRowHeight="14.4" x14ac:dyDescent="0.3"/>
  <cols>
    <col min="1" max="1" width="19.6640625" style="6" customWidth="1"/>
    <col min="2" max="2" width="11.44140625" style="6"/>
    <col min="3" max="3" width="5.109375" style="6" customWidth="1"/>
    <col min="4" max="4" width="14.33203125" style="6" customWidth="1"/>
    <col min="5" max="5" width="14.44140625" style="6" customWidth="1"/>
    <col min="6" max="6" width="5.109375" style="6" customWidth="1"/>
    <col min="7" max="7" width="13" style="6" customWidth="1"/>
    <col min="8" max="8" width="11.6640625" style="6" customWidth="1"/>
    <col min="9" max="9" width="5.109375" style="6" customWidth="1"/>
    <col min="10" max="11" width="11.44140625" style="6"/>
    <col min="12" max="12" width="5.109375" style="6" customWidth="1"/>
    <col min="13" max="13" width="16.88671875" style="6" customWidth="1"/>
    <col min="14" max="14" width="11.5546875" style="6" customWidth="1"/>
  </cols>
  <sheetData>
    <row r="4" spans="1:21" x14ac:dyDescent="0.3">
      <c r="A4" s="63" t="str">
        <f>'Lista de Libros'!E2</f>
        <v>BANCO GANADERO M/N</v>
      </c>
      <c r="B4" s="63"/>
      <c r="D4" s="63" t="str">
        <f>'Lista de Libros'!E3</f>
        <v>INVENTARIO DE MERCADERIAS</v>
      </c>
      <c r="E4" s="63"/>
      <c r="G4" s="63" t="str">
        <f>'Lista de Libros'!E4</f>
        <v>MUEBLES Y ENSERES</v>
      </c>
      <c r="H4" s="63"/>
      <c r="J4" s="63" t="s">
        <v>16</v>
      </c>
      <c r="K4" s="63"/>
      <c r="M4" s="63" t="str">
        <f>'Lista de Libros'!E6</f>
        <v>ALQUILERES PAGADOS POR ANTICIPADO</v>
      </c>
      <c r="N4" s="63"/>
      <c r="O4" s="64"/>
      <c r="P4" s="64"/>
      <c r="Q4" s="6"/>
      <c r="R4" s="64"/>
      <c r="S4" s="64"/>
      <c r="T4" s="6"/>
      <c r="U4" s="6">
        <f>'Lista de Libros'!S4</f>
        <v>0</v>
      </c>
    </row>
    <row r="5" spans="1:21" x14ac:dyDescent="0.3">
      <c r="A5" s="39" t="e" cm="1">
        <f t="array" aca="1" ref="A5:A7" ca="1">_xlfn._xlws.FILTER('Libro Diario 1'!C4:C59,'Libro Diario 1'!B4:B59=A4)</f>
        <v>#NAME?</v>
      </c>
      <c r="B5" s="6" t="e" cm="1">
        <f t="array" aca="1" ref="B5:B7" ca="1">_xlfn._xlws.FILTER('Libro Diario 1'!D4:D56,'Libro Diario 1'!B4:B56=Mayores!A4)</f>
        <v>#NAME?</v>
      </c>
      <c r="D5" s="39" t="e" cm="1">
        <f t="array" aca="1" ref="D5:D6" ca="1">_xlfn._xlws.FILTER('Libro Diario 1'!C4:C56,'Libro Diario 1'!B4:B56=Mayores!D4)</f>
        <v>#NAME?</v>
      </c>
      <c r="E5" s="6" t="e" cm="1">
        <f t="array" aca="1" ref="E5:E6" ca="1">_xlfn._xlws.FILTER('Libro Diario 1'!D4:D56,'Libro Diario 1'!B4:B56=Mayores!D4)</f>
        <v>#NAME?</v>
      </c>
      <c r="G5" s="39" t="e" cm="1">
        <f t="array" aca="1" ref="G5:G6" ca="1">_xlfn._xlws.FILTER('Libro Diario 1'!C4:C56,'Libro Diario 1'!B4:B56=G4)</f>
        <v>#NAME?</v>
      </c>
      <c r="H5" s="6" t="e" cm="1">
        <f t="array" aca="1" ref="H5:H6" ca="1">_xlfn._xlws.FILTER('Libro Diario 1'!D4:D56,'Libro Diario 1'!B4:B56=G4)</f>
        <v>#NAME?</v>
      </c>
      <c r="J5" s="40" t="e" cm="1">
        <f t="array" aca="1" ref="J5" ca="1">_xlfn._xlws.FILTER('Libro Diario 1'!C4:C56,'Libro Diario 1'!B4:B56=J4)</f>
        <v>#NAME?</v>
      </c>
      <c r="K5" s="6" t="e" cm="1">
        <f t="array" aca="1" ref="K5" ca="1">_xlfn._xlws.FILTER('Libro Diario 1'!D4:D56,'Libro Diario 1'!B4:B56=J4)</f>
        <v>#NAME?</v>
      </c>
      <c r="M5" s="6" t="e" cm="1">
        <f t="array" aca="1" ref="M5" ca="1">_xlfn._xlws.FILTER('Libro Diario 1'!C4:C56,'Libro Diario 1'!B4:B56=M4)</f>
        <v>#NAME?</v>
      </c>
      <c r="N5" s="6" t="e" cm="1">
        <f t="array" aca="1" ref="N5" ca="1">_xlfn._xlws.FILTER('Libro Diario 1'!D4:D56,'Libro Diario 1'!B4:B56=M4)</f>
        <v>#NAME?</v>
      </c>
    </row>
    <row r="6" spans="1:21" x14ac:dyDescent="0.3">
      <c r="A6" s="39" t="e">
        <f ca="1"/>
        <v>#NAME?</v>
      </c>
      <c r="B6" s="6" t="e">
        <f ca="1"/>
        <v>#NAME?</v>
      </c>
      <c r="D6" s="40" t="e">
        <f ca="1"/>
        <v>#NAME?</v>
      </c>
      <c r="E6" s="6" t="e">
        <f ca="1"/>
        <v>#NAME?</v>
      </c>
      <c r="G6" s="40" t="e">
        <f ca="1"/>
        <v>#NAME?</v>
      </c>
      <c r="H6" s="6" t="e">
        <f ca="1"/>
        <v>#NAME?</v>
      </c>
      <c r="J6" s="38" t="e">
        <f ca="1">SUM(J5)</f>
        <v>#NAME?</v>
      </c>
      <c r="K6" s="38" t="e">
        <f ca="1">SUM(K5)</f>
        <v>#NAME?</v>
      </c>
      <c r="M6" s="38" t="e">
        <f ca="1">SUM(M5)</f>
        <v>#NAME?</v>
      </c>
      <c r="N6" s="38" t="e">
        <f ca="1">SUM(N5)</f>
        <v>#NAME?</v>
      </c>
    </row>
    <row r="7" spans="1:21" x14ac:dyDescent="0.3">
      <c r="A7" s="40" t="e">
        <f ca="1"/>
        <v>#NAME?</v>
      </c>
      <c r="B7" s="6" t="e">
        <f ca="1"/>
        <v>#NAME?</v>
      </c>
      <c r="D7" s="38" t="e">
        <f ca="1">SUM(D5:D6)</f>
        <v>#NAME?</v>
      </c>
      <c r="E7" s="38" t="e">
        <f ca="1">SUM(E5:E6)</f>
        <v>#NAME?</v>
      </c>
      <c r="G7" s="38" t="e">
        <f ca="1">SUM(G5:G6)</f>
        <v>#NAME?</v>
      </c>
      <c r="H7" s="38" t="e">
        <f ca="1">SUM(H5:H6)</f>
        <v>#NAME?</v>
      </c>
    </row>
    <row r="8" spans="1:21" x14ac:dyDescent="0.3">
      <c r="A8" s="38" t="e">
        <f ca="1">SUM(A5:A7)</f>
        <v>#NAME?</v>
      </c>
      <c r="B8" s="38" t="e">
        <f ca="1">SUM(B5:B7)</f>
        <v>#NAME?</v>
      </c>
    </row>
    <row r="9" spans="1:21" x14ac:dyDescent="0.3">
      <c r="B9" s="48" t="e">
        <f ca="1">A8-B8</f>
        <v>#NAME?</v>
      </c>
    </row>
    <row r="11" spans="1:21" x14ac:dyDescent="0.3">
      <c r="A11" s="63" t="str">
        <f>'Lista de Libros'!E7</f>
        <v>DOCUMENTOS POR PAGAR</v>
      </c>
      <c r="B11" s="63"/>
      <c r="D11" s="63" t="str">
        <f>'Lista de Libros'!E8</f>
        <v>DEUDAS POR PAGAR</v>
      </c>
      <c r="E11" s="63"/>
      <c r="G11" s="63" t="str">
        <f>'Lista de Libros'!E9</f>
        <v>CAPITAL SOCIAL</v>
      </c>
      <c r="H11" s="63"/>
      <c r="J11" s="63" t="str">
        <f>'Lista de Libros'!E10</f>
        <v>CAJA M/N</v>
      </c>
      <c r="K11" s="63"/>
      <c r="M11" s="63" t="str">
        <f>'Lista de Libros'!E11</f>
        <v>IMPUESTO A LAS TRANSACCIONES</v>
      </c>
      <c r="N11" s="63"/>
    </row>
    <row r="12" spans="1:21" x14ac:dyDescent="0.3">
      <c r="A12" s="40" t="e" cm="1">
        <f t="array" aca="1" ref="A12" ca="1">_xlfn._xlws.FILTER('Libro Diario 1'!C4:C56,'Libro Diario 1'!B4:B56=A11)</f>
        <v>#NAME?</v>
      </c>
      <c r="B12" s="6" t="e" cm="1">
        <f t="array" aca="1" ref="B12" ca="1">_xlfn._xlws.FILTER('Libro Diario 1'!D4:D56,'Libro Diario 1'!B4:B56=A11)</f>
        <v>#NAME?</v>
      </c>
      <c r="D12" s="39" t="e" cm="1">
        <f t="array" aca="1" ref="D12:D14" ca="1">_xlfn._xlws.FILTER('Libro Diario 1'!C4:C56,'Libro Diario 1'!B4:B56=D11)</f>
        <v>#NAME?</v>
      </c>
      <c r="E12" s="6" t="e" cm="1">
        <f t="array" aca="1" ref="E12:E14" ca="1">_xlfn._xlws.FILTER('Libro Diario 1'!D4:D56,'Libro Diario 1'!B4:B56=D11)</f>
        <v>#NAME?</v>
      </c>
      <c r="G12" s="40" t="e" cm="1">
        <f t="array" aca="1" ref="G12" ca="1">_xlfn._xlws.FILTER('Libro Diario 1'!C4:C56,'Libro Diario 1'!B4:B56=G11)</f>
        <v>#NAME?</v>
      </c>
      <c r="H12" s="6" t="e" cm="1">
        <f t="array" aca="1" ref="H12" ca="1">_xlfn._xlws.FILTER('Libro Diario 1'!D4:D56,'Libro Diario 1'!B4:B56=G11)</f>
        <v>#NAME?</v>
      </c>
      <c r="J12" s="39" t="e" cm="1">
        <f t="array" aca="1" ref="J12:J17" ca="1">_xlfn._xlws.FILTER('Libro Diario 1'!C4:C56,'Libro Diario 1'!B4:B56=J11)</f>
        <v>#NAME?</v>
      </c>
      <c r="K12" s="6" t="e" cm="1">
        <f t="array" aca="1" ref="K12:K17" ca="1">_xlfn._xlws.FILTER('Libro Diario 1'!D4:D60,'Libro Diario 1'!B4:B60=J11)</f>
        <v>#NAME?</v>
      </c>
      <c r="M12" s="39" t="e" cm="1">
        <f t="array" aca="1" ref="M12:M13" ca="1">_xlfn._xlws.FILTER('Libro Diario 1'!C4:C56,'Libro Diario 1'!B4:B56=M11)</f>
        <v>#NAME?</v>
      </c>
      <c r="N12" s="6" t="e" cm="1">
        <f t="array" aca="1" ref="N12:N13" ca="1">_xlfn._xlws.FILTER('Libro Diario 1'!D4:D56,'Libro Diario 1'!B4:B56=M11)</f>
        <v>#NAME?</v>
      </c>
    </row>
    <row r="13" spans="1:21" x14ac:dyDescent="0.3">
      <c r="A13" s="38" t="e">
        <f ca="1">SUM(A12)</f>
        <v>#NAME?</v>
      </c>
      <c r="B13" s="38" t="e">
        <f ca="1">SUM(B12)</f>
        <v>#NAME?</v>
      </c>
      <c r="D13" s="39" t="e">
        <f ca="1"/>
        <v>#NAME?</v>
      </c>
      <c r="E13" s="6" t="e">
        <f ca="1"/>
        <v>#NAME?</v>
      </c>
      <c r="G13" s="38" t="e">
        <f ca="1">SUM(G12)</f>
        <v>#NAME?</v>
      </c>
      <c r="H13" s="38" t="e">
        <f ca="1">SUM(H12)</f>
        <v>#NAME?</v>
      </c>
      <c r="J13" s="39" t="e">
        <f ca="1"/>
        <v>#NAME?</v>
      </c>
      <c r="K13" s="6" t="e">
        <f ca="1"/>
        <v>#NAME?</v>
      </c>
      <c r="M13" s="40" t="e">
        <f ca="1"/>
        <v>#NAME?</v>
      </c>
      <c r="N13" s="6" t="e">
        <f ca="1"/>
        <v>#NAME?</v>
      </c>
    </row>
    <row r="14" spans="1:21" x14ac:dyDescent="0.3">
      <c r="D14" s="40" t="e">
        <f ca="1"/>
        <v>#NAME?</v>
      </c>
      <c r="E14" s="6" t="e">
        <f ca="1"/>
        <v>#NAME?</v>
      </c>
      <c r="J14" s="39" t="e">
        <f ca="1"/>
        <v>#NAME?</v>
      </c>
      <c r="K14" s="6" t="e">
        <f ca="1"/>
        <v>#NAME?</v>
      </c>
      <c r="M14" s="38" t="e">
        <f ca="1">SUM(M12:M13)</f>
        <v>#NAME?</v>
      </c>
      <c r="N14" s="38" t="e">
        <f ca="1">SUM(N12:N13)</f>
        <v>#NAME?</v>
      </c>
    </row>
    <row r="15" spans="1:21" x14ac:dyDescent="0.3">
      <c r="D15" s="38" t="e">
        <f ca="1">SUM(D12:D14)</f>
        <v>#NAME?</v>
      </c>
      <c r="E15" s="38" t="e">
        <f ca="1">SUM(E12:E14)</f>
        <v>#NAME?</v>
      </c>
      <c r="J15" s="39" t="e">
        <f ca="1"/>
        <v>#NAME?</v>
      </c>
      <c r="K15" s="6" t="e">
        <f ca="1"/>
        <v>#NAME?</v>
      </c>
    </row>
    <row r="16" spans="1:21" x14ac:dyDescent="0.3">
      <c r="E16" s="48" t="e">
        <f ca="1">D15-E15</f>
        <v>#NAME?</v>
      </c>
      <c r="J16" s="39" t="e">
        <f ca="1"/>
        <v>#NAME?</v>
      </c>
      <c r="K16" s="6" t="e">
        <f ca="1"/>
        <v>#NAME?</v>
      </c>
    </row>
    <row r="17" spans="1:14" x14ac:dyDescent="0.3">
      <c r="J17" s="39" t="e">
        <f ca="1"/>
        <v>#NAME?</v>
      </c>
      <c r="K17" s="43" t="e">
        <f ca="1"/>
        <v>#NAME?</v>
      </c>
    </row>
    <row r="18" spans="1:14" x14ac:dyDescent="0.3">
      <c r="J18" s="39"/>
      <c r="K18" s="43"/>
    </row>
    <row r="19" spans="1:14" x14ac:dyDescent="0.3">
      <c r="J19" s="38" t="e">
        <f ca="1">SUM(_xlfn.ANCHORARRAY(J12))</f>
        <v>#NAME?</v>
      </c>
      <c r="K19" s="38" t="e">
        <f ca="1">SUM(_xlfn.ANCHORARRAY(K12))</f>
        <v>#NAME?</v>
      </c>
    </row>
    <row r="20" spans="1:14" x14ac:dyDescent="0.3">
      <c r="K20" s="48" t="e">
        <f ca="1">J19-K19</f>
        <v>#NAME?</v>
      </c>
    </row>
    <row r="21" spans="1:14" x14ac:dyDescent="0.3">
      <c r="A21" s="63" t="str">
        <f>'Lista de Libros'!E12</f>
        <v>VENTAS</v>
      </c>
      <c r="B21" s="63"/>
      <c r="D21" s="65" t="str">
        <f>'Lista de Libros'!E13</f>
        <v>DEBITO FISCAL</v>
      </c>
      <c r="E21" s="65"/>
      <c r="G21" s="63" t="str">
        <f>'Lista de Libros'!E14</f>
        <v>IT POR PAGAR</v>
      </c>
      <c r="H21" s="63"/>
      <c r="J21" s="63" t="str">
        <f>'Lista de Libros'!E15</f>
        <v>CREDITO FISCAL</v>
      </c>
      <c r="K21" s="63"/>
      <c r="M21" s="63" t="str">
        <f>'Lista de Libros'!E16</f>
        <v>DOCUMENTOS POR COBRAR</v>
      </c>
      <c r="N21" s="63"/>
    </row>
    <row r="22" spans="1:14" x14ac:dyDescent="0.3">
      <c r="A22" s="6" t="e" cm="1">
        <f t="array" aca="1" ref="A22:A23" ca="1">_xlfn._xlws.FILTER('Libro Diario 1'!C4:C56,'Libro Diario 1'!B4:B56=A21)</f>
        <v>#NAME?</v>
      </c>
      <c r="B22" s="6" t="e" cm="1">
        <f t="array" aca="1" ref="B22:B23" ca="1">_xlfn._xlws.FILTER('Libro Diario 1'!D4:D56,'Libro Diario 1'!B4:B56=A21)</f>
        <v>#NAME?</v>
      </c>
      <c r="D22" s="43" t="e" cm="1">
        <f t="array" aca="1" ref="D22:D24" ca="1">_xlfn._xlws.FILTER('Libro Diario 1'!C4:C60,'Libro Diario 1'!B4:B60=D21)</f>
        <v>#NAME?</v>
      </c>
      <c r="E22" s="43" t="e" cm="1">
        <f t="array" aca="1" ref="E22:E24" ca="1">_xlfn._xlws.FILTER('Libro Diario 1'!D4:D60,'Libro Diario 1'!B4:B60=D21)</f>
        <v>#NAME?</v>
      </c>
      <c r="G22" s="6" t="e" cm="1">
        <f t="array" aca="1" ref="G22:G23" ca="1">_xlfn._xlws.FILTER('Libro Diario 1'!C4:C56,'Libro Diario 1'!B4:B56=G21)</f>
        <v>#NAME?</v>
      </c>
      <c r="H22" s="6" t="e" cm="1">
        <f t="array" aca="1" ref="H22:H23" ca="1">_xlfn._xlws.FILTER('Libro Diario 1'!D4:D56,'Libro Diario 1'!B4:B56=G21)</f>
        <v>#NAME?</v>
      </c>
      <c r="J22" s="6" t="e" cm="1">
        <f t="array" aca="1" ref="J22:J26" ca="1">_xlfn._xlws.FILTER('Libro Diario 1'!C4:C60,'Libro Diario 1'!B4:B60=J21)</f>
        <v>#NAME?</v>
      </c>
      <c r="K22" s="6" t="e" cm="1">
        <f t="array" aca="1" ref="K22:K26" ca="1">_xlfn._xlws.FILTER('Libro Diario 1'!D4:D60,'Libro Diario 1'!B4:B60=J21)</f>
        <v>#NAME?</v>
      </c>
      <c r="M22" s="6" t="e" cm="1">
        <f t="array" aca="1" ref="M22" ca="1">_xlfn._xlws.FILTER('Libro Diario 1'!C4:C56,'Libro Diario 1'!B4:B56=M21)</f>
        <v>#NAME?</v>
      </c>
      <c r="N22" s="6" t="e" cm="1">
        <f t="array" aca="1" ref="N22" ca="1">_xlfn._xlws.FILTER('Libro Diario 1'!D4:D56,'Libro Diario 1'!B4:B56=M21)</f>
        <v>#NAME?</v>
      </c>
    </row>
    <row r="23" spans="1:14" x14ac:dyDescent="0.3">
      <c r="A23" s="6" t="e">
        <f ca="1"/>
        <v>#NAME?</v>
      </c>
      <c r="B23" s="6" t="e">
        <f ca="1"/>
        <v>#NAME?</v>
      </c>
      <c r="D23" s="43" t="e">
        <f ca="1"/>
        <v>#NAME?</v>
      </c>
      <c r="E23" s="43" t="e">
        <f ca="1"/>
        <v>#NAME?</v>
      </c>
      <c r="G23" s="6" t="e">
        <f ca="1"/>
        <v>#NAME?</v>
      </c>
      <c r="H23" s="6" t="e">
        <f ca="1"/>
        <v>#NAME?</v>
      </c>
      <c r="J23" s="6" t="e">
        <f ca="1"/>
        <v>#NAME?</v>
      </c>
      <c r="K23" s="6" t="e">
        <f ca="1"/>
        <v>#NAME?</v>
      </c>
      <c r="M23" s="38" t="e">
        <f ca="1">SUM(M22)</f>
        <v>#NAME?</v>
      </c>
      <c r="N23" s="38" t="e">
        <f ca="1">SUM(N22)</f>
        <v>#NAME?</v>
      </c>
    </row>
    <row r="24" spans="1:14" x14ac:dyDescent="0.3">
      <c r="A24" s="38" t="e">
        <f ca="1">SUM(A22:A23)</f>
        <v>#NAME?</v>
      </c>
      <c r="B24" s="38" t="e">
        <f ca="1">SUM(B22:B23)</f>
        <v>#NAME?</v>
      </c>
      <c r="D24" s="43" t="e">
        <f ca="1"/>
        <v>#NAME?</v>
      </c>
      <c r="E24" s="43" t="e">
        <f ca="1"/>
        <v>#NAME?</v>
      </c>
      <c r="G24" s="38" t="e">
        <f ca="1">SUM(G22:G23)</f>
        <v>#NAME?</v>
      </c>
      <c r="H24" s="38" t="e">
        <f ca="1">SUM(H22:H23)</f>
        <v>#NAME?</v>
      </c>
      <c r="J24" s="6" t="e">
        <f ca="1"/>
        <v>#NAME?</v>
      </c>
      <c r="K24" s="6" t="e">
        <f ca="1"/>
        <v>#NAME?</v>
      </c>
    </row>
    <row r="25" spans="1:14" x14ac:dyDescent="0.3">
      <c r="D25" s="38" t="e">
        <f ca="1">SUM(_xlfn.ANCHORARRAY(D22))</f>
        <v>#NAME?</v>
      </c>
      <c r="E25" s="38" t="e">
        <f ca="1">SUM(_xlfn.ANCHORARRAY(E22))</f>
        <v>#NAME?</v>
      </c>
      <c r="J25" s="43" t="e">
        <f ca="1"/>
        <v>#NAME?</v>
      </c>
      <c r="K25" s="43" t="e">
        <f ca="1"/>
        <v>#NAME?</v>
      </c>
    </row>
    <row r="26" spans="1:14" x14ac:dyDescent="0.3">
      <c r="E26" s="6" t="e">
        <f ca="1">D25-E25</f>
        <v>#NAME?</v>
      </c>
      <c r="J26" s="43" t="e">
        <f ca="1"/>
        <v>#NAME?</v>
      </c>
      <c r="K26" s="43" t="e">
        <f ca="1"/>
        <v>#NAME?</v>
      </c>
    </row>
    <row r="27" spans="1:14" x14ac:dyDescent="0.3">
      <c r="J27" s="38" t="e">
        <f ca="1">SUM(_xlfn.ANCHORARRAY(J22))</f>
        <v>#NAME?</v>
      </c>
      <c r="K27" s="38" t="e">
        <f ca="1">SUM(_xlfn.ANCHORARRAY(K22))</f>
        <v>#NAME?</v>
      </c>
    </row>
    <row r="28" spans="1:14" x14ac:dyDescent="0.3">
      <c r="K28" s="6" t="e">
        <f ca="1">K27-J27</f>
        <v>#NAME?</v>
      </c>
    </row>
    <row r="31" spans="1:14" x14ac:dyDescent="0.3">
      <c r="A31" s="63" t="str">
        <f>'Lista de Libros'!E17</f>
        <v>MANTENIMIENTO MOBILIARIO</v>
      </c>
      <c r="B31" s="63"/>
      <c r="D31" s="63" t="str">
        <f>'Lista de Libros'!E18</f>
        <v>ALQUILER DE OFICINA</v>
      </c>
      <c r="E31" s="63"/>
    </row>
    <row r="32" spans="1:14" x14ac:dyDescent="0.3">
      <c r="A32" s="40" t="e" cm="1">
        <f t="array" aca="1" ref="A32" ca="1">_xlfn._xlws.FILTER('Libro Diario 1'!C4:C56,'Libro Diario 1'!B4:B56=A31)</f>
        <v>#NAME?</v>
      </c>
      <c r="B32" s="6" t="e" cm="1">
        <f t="array" aca="1" ref="B32" ca="1">_xlfn._xlws.FILTER('Libro Diario 1'!D4:D56,'Libro Diario 1'!B4:B56=A31)</f>
        <v>#NAME?</v>
      </c>
      <c r="D32" s="40" t="e" cm="1">
        <f t="array" aca="1" ref="D32" ca="1">_xlfn._xlws.FILTER('Libro Diario 1'!C4:C56,'Libro Diario 1'!B4:B56=D31)</f>
        <v>#NAME?</v>
      </c>
      <c r="E32" s="6" t="e" cm="1">
        <f t="array" aca="1" ref="E32" ca="1">_xlfn._xlws.FILTER('Libro Diario 1'!D4:D56,'Libro Diario 1'!B4:B56=D31)</f>
        <v>#NAME?</v>
      </c>
    </row>
    <row r="33" spans="1:5" x14ac:dyDescent="0.3">
      <c r="A33" s="38" t="e">
        <f ca="1">SUM(A32)</f>
        <v>#NAME?</v>
      </c>
      <c r="B33" s="38" t="e">
        <f ca="1">SUM(B32)</f>
        <v>#NAME?</v>
      </c>
      <c r="D33" s="38" t="e">
        <f ca="1">SUM(D32)</f>
        <v>#NAME?</v>
      </c>
      <c r="E33" s="38" t="e">
        <f ca="1">SUM(E32)</f>
        <v>#NAME?</v>
      </c>
    </row>
    <row r="65" spans="4:4" x14ac:dyDescent="0.3">
      <c r="D65" s="28" t="str">
        <f>IF(OR(ISNUMBER(FIND("CT",'Libro Diario 1'!B56)), ISNUMBER(FIND("CI",'Libro Diario 1'!B56)), ISNUMBER(FIND("Glosa", 'Libro Diario 1'!B56))), "", 'Libro Diario 1'!B56)</f>
        <v/>
      </c>
    </row>
    <row r="66" spans="4:4" x14ac:dyDescent="0.3">
      <c r="D66" s="28" t="e">
        <f>IF(OR(ISNUMBER(FIND("CT",'Libro Diario 1'!#REF!)), ISNUMBER(FIND("CI",'Libro Diario 1'!#REF!)), ISNUMBER(FIND("Glosa", 'Libro Diario 1'!#REF!))), "", 'Libro Diario 1'!#REF!)</f>
        <v>#REF!</v>
      </c>
    </row>
    <row r="67" spans="4:4" x14ac:dyDescent="0.3">
      <c r="D67" s="28" t="e">
        <f>IF(OR(ISNUMBER(FIND("CT",'Libro Diario 1'!#REF!)), ISNUMBER(FIND("CI",'Libro Diario 1'!#REF!)), ISNUMBER(FIND("Glosa", 'Libro Diario 1'!#REF!))), "", 'Libro Diario 1'!#REF!)</f>
        <v>#REF!</v>
      </c>
    </row>
    <row r="68" spans="4:4" x14ac:dyDescent="0.3">
      <c r="D68" s="28" t="e">
        <f>IF(OR(ISNUMBER(FIND("CT",'Libro Diario 1'!#REF!)), ISNUMBER(FIND("CI",'Libro Diario 1'!#REF!)), ISNUMBER(FIND("Glosa", 'Libro Diario 1'!#REF!))), "", 'Libro Diario 1'!#REF!)</f>
        <v>#REF!</v>
      </c>
    </row>
    <row r="69" spans="4:4" x14ac:dyDescent="0.3">
      <c r="D69" s="28" t="e">
        <f>IF(OR(ISNUMBER(FIND("CT",'Libro Diario 1'!#REF!)), ISNUMBER(FIND("CI",'Libro Diario 1'!#REF!)), ISNUMBER(FIND("Glosa", 'Libro Diario 1'!#REF!))), "", 'Libro Diario 1'!#REF!)</f>
        <v>#REF!</v>
      </c>
    </row>
    <row r="70" spans="4:4" x14ac:dyDescent="0.3">
      <c r="D70" s="28" t="str">
        <f>IF(OR(ISNUMBER(FIND("CT",'Libro Diario 1'!B57)), ISNUMBER(FIND("CI",'Libro Diario 1'!B57)), ISNUMBER(FIND("Glosa", 'Libro Diario 1'!B57))), "", 'Libro Diario 1'!B57)</f>
        <v/>
      </c>
    </row>
    <row r="71" spans="4:4" x14ac:dyDescent="0.3">
      <c r="D71" s="28" t="str">
        <f>IF(OR(ISNUMBER(FIND("CT",'Libro Diario 1'!B58)), ISNUMBER(FIND("CI",'Libro Diario 1'!B58)), ISNUMBER(FIND("Glosa", 'Libro Diario 1'!B58))), "", 'Libro Diario 1'!B58)</f>
        <v>DEBITO FISCAL</v>
      </c>
    </row>
    <row r="72" spans="4:4" x14ac:dyDescent="0.3">
      <c r="D72" s="28" t="str">
        <f>IF(OR(ISNUMBER(FIND("CT",'Libro Diario 1'!B59)), ISNUMBER(FIND("CI",'Libro Diario 1'!B59)), ISNUMBER(FIND("Glosa", 'Libro Diario 1'!B59))), "", 'Libro Diario 1'!B59)</f>
        <v>CREDITO FISCAL</v>
      </c>
    </row>
  </sheetData>
  <mergeCells count="19">
    <mergeCell ref="A31:B31"/>
    <mergeCell ref="D31:E31"/>
    <mergeCell ref="D21:E21"/>
    <mergeCell ref="G21:H21"/>
    <mergeCell ref="J21:K21"/>
    <mergeCell ref="M21:N21"/>
    <mergeCell ref="A4:B4"/>
    <mergeCell ref="O4:P4"/>
    <mergeCell ref="R4:S4"/>
    <mergeCell ref="M4:N4"/>
    <mergeCell ref="A11:B11"/>
    <mergeCell ref="D11:E11"/>
    <mergeCell ref="G11:H11"/>
    <mergeCell ref="J11:K11"/>
    <mergeCell ref="M11:N11"/>
    <mergeCell ref="D4:E4"/>
    <mergeCell ref="A21:B21"/>
    <mergeCell ref="G4:H4"/>
    <mergeCell ref="J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7E29-34FC-4046-AC57-598BE42746D8}">
  <sheetPr>
    <tabColor rgb="FF7030A0"/>
  </sheetPr>
  <dimension ref="A1:H29"/>
  <sheetViews>
    <sheetView showGridLines="0" zoomScale="130" zoomScaleNormal="130" workbookViewId="0">
      <selection activeCell="G19" sqref="G19"/>
    </sheetView>
  </sheetViews>
  <sheetFormatPr baseColWidth="10" defaultColWidth="11.44140625" defaultRowHeight="14.4" x14ac:dyDescent="0.3"/>
  <cols>
    <col min="1" max="1" width="2.33203125" customWidth="1"/>
    <col min="3" max="3" width="15.88671875" customWidth="1"/>
    <col min="4" max="4" width="11.44140625" style="6"/>
  </cols>
  <sheetData>
    <row r="1" spans="1:5" x14ac:dyDescent="0.3">
      <c r="A1" s="2" t="s">
        <v>586</v>
      </c>
    </row>
    <row r="2" spans="1:5" x14ac:dyDescent="0.3">
      <c r="A2" s="55" t="s">
        <v>18</v>
      </c>
      <c r="B2" s="55"/>
      <c r="C2" s="55"/>
      <c r="D2" s="55"/>
      <c r="E2" s="55"/>
    </row>
    <row r="3" spans="1:5" x14ac:dyDescent="0.3">
      <c r="A3" s="55" t="s">
        <v>638</v>
      </c>
      <c r="B3" s="55"/>
      <c r="C3" s="55"/>
      <c r="D3" s="55"/>
      <c r="E3" s="55"/>
    </row>
    <row r="4" spans="1:5" x14ac:dyDescent="0.3">
      <c r="A4" s="55" t="s">
        <v>19</v>
      </c>
      <c r="B4" s="55"/>
      <c r="C4" s="55"/>
      <c r="D4" s="55"/>
      <c r="E4" s="55"/>
    </row>
    <row r="5" spans="1:5" ht="8.25" customHeight="1" x14ac:dyDescent="0.3"/>
    <row r="6" spans="1:5" x14ac:dyDescent="0.3">
      <c r="A6" s="2" t="s">
        <v>0</v>
      </c>
    </row>
    <row r="7" spans="1:5" x14ac:dyDescent="0.3">
      <c r="A7" s="2"/>
      <c r="B7" s="2" t="s">
        <v>45</v>
      </c>
      <c r="D7" s="8">
        <f>SUM(D8:D11)</f>
        <v>494000</v>
      </c>
    </row>
    <row r="8" spans="1:5" x14ac:dyDescent="0.3">
      <c r="A8" s="2"/>
      <c r="B8" t="s">
        <v>55</v>
      </c>
      <c r="D8" s="6">
        <v>255000</v>
      </c>
    </row>
    <row r="9" spans="1:5" x14ac:dyDescent="0.3">
      <c r="A9" s="2"/>
      <c r="B9" t="s">
        <v>637</v>
      </c>
      <c r="D9" s="6">
        <v>100000</v>
      </c>
    </row>
    <row r="10" spans="1:5" x14ac:dyDescent="0.3">
      <c r="A10" s="2"/>
      <c r="B10" t="s">
        <v>47</v>
      </c>
      <c r="D10" s="6">
        <v>84000</v>
      </c>
    </row>
    <row r="11" spans="1:5" x14ac:dyDescent="0.3">
      <c r="A11" s="2"/>
      <c r="B11" t="s">
        <v>584</v>
      </c>
      <c r="D11" s="6">
        <v>55000</v>
      </c>
    </row>
    <row r="12" spans="1:5" ht="6" customHeight="1" x14ac:dyDescent="0.3">
      <c r="A12" s="2"/>
    </row>
    <row r="13" spans="1:5" x14ac:dyDescent="0.3">
      <c r="A13" s="2"/>
      <c r="B13" s="2" t="s">
        <v>46</v>
      </c>
      <c r="D13" s="8">
        <f>D14+D15</f>
        <v>57000</v>
      </c>
    </row>
    <row r="14" spans="1:5" x14ac:dyDescent="0.3">
      <c r="A14" s="2"/>
      <c r="B14" t="s">
        <v>585</v>
      </c>
      <c r="D14" s="6">
        <v>12000</v>
      </c>
    </row>
    <row r="15" spans="1:5" x14ac:dyDescent="0.3">
      <c r="A15" s="2"/>
      <c r="B15" t="s">
        <v>636</v>
      </c>
      <c r="D15" s="6">
        <v>45000</v>
      </c>
    </row>
    <row r="16" spans="1:5" ht="6.75" customHeight="1" x14ac:dyDescent="0.3">
      <c r="A16" s="2"/>
      <c r="B16" s="5"/>
      <c r="D16" s="9"/>
    </row>
    <row r="17" spans="1:8" s="2" customFormat="1" x14ac:dyDescent="0.3">
      <c r="B17" s="2" t="s">
        <v>21</v>
      </c>
      <c r="C17"/>
      <c r="D17" s="8">
        <f>D7+D13</f>
        <v>551000</v>
      </c>
    </row>
    <row r="18" spans="1:8" x14ac:dyDescent="0.3">
      <c r="A18" s="2"/>
      <c r="B18" s="7"/>
      <c r="C18" s="2"/>
      <c r="H18" t="s">
        <v>54</v>
      </c>
    </row>
    <row r="19" spans="1:8" x14ac:dyDescent="0.3">
      <c r="A19" s="2" t="s">
        <v>1</v>
      </c>
    </row>
    <row r="20" spans="1:8" x14ac:dyDescent="0.3">
      <c r="A20" s="2"/>
      <c r="B20" s="2" t="s">
        <v>2</v>
      </c>
      <c r="D20" s="8">
        <f>SUM(D21:D21)</f>
        <v>35000</v>
      </c>
    </row>
    <row r="21" spans="1:8" x14ac:dyDescent="0.3">
      <c r="A21" s="2"/>
      <c r="B21" t="s">
        <v>48</v>
      </c>
      <c r="D21" s="6">
        <v>35000</v>
      </c>
    </row>
    <row r="22" spans="1:8" ht="6.6" customHeight="1" x14ac:dyDescent="0.3">
      <c r="A22" s="2"/>
    </row>
    <row r="23" spans="1:8" x14ac:dyDescent="0.3">
      <c r="A23" s="2"/>
      <c r="B23" s="2" t="s">
        <v>6</v>
      </c>
      <c r="D23" s="8">
        <f>D24</f>
        <v>350000</v>
      </c>
    </row>
    <row r="24" spans="1:8" x14ac:dyDescent="0.3">
      <c r="A24" s="2"/>
      <c r="B24" t="s">
        <v>635</v>
      </c>
      <c r="D24" s="6">
        <v>350000</v>
      </c>
    </row>
    <row r="25" spans="1:8" x14ac:dyDescent="0.3">
      <c r="A25" s="2" t="s">
        <v>7</v>
      </c>
    </row>
    <row r="26" spans="1:8" x14ac:dyDescent="0.3">
      <c r="B26" t="s">
        <v>50</v>
      </c>
      <c r="D26" s="9">
        <f>SUM(D17-(D20+D23))</f>
        <v>166000</v>
      </c>
    </row>
    <row r="27" spans="1:8" ht="6.75" customHeight="1" x14ac:dyDescent="0.3">
      <c r="B27" s="5"/>
    </row>
    <row r="28" spans="1:8" s="2" customFormat="1" x14ac:dyDescent="0.3">
      <c r="B28" t="s">
        <v>9</v>
      </c>
      <c r="C28"/>
      <c r="D28" s="8">
        <f>SUM(D20+D26+D23)</f>
        <v>551000</v>
      </c>
    </row>
    <row r="29" spans="1:8" x14ac:dyDescent="0.3">
      <c r="B29" s="7"/>
      <c r="C29" s="2"/>
    </row>
  </sheetData>
  <mergeCells count="3">
    <mergeCell ref="A2:E2"/>
    <mergeCell ref="A3:E3"/>
    <mergeCell ref="A4:E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K48"/>
  <sheetViews>
    <sheetView showGridLines="0" showZeros="0" topLeftCell="A3" zoomScaleNormal="100" workbookViewId="0">
      <selection activeCell="H25" sqref="H25"/>
    </sheetView>
  </sheetViews>
  <sheetFormatPr baseColWidth="10" defaultColWidth="11.44140625" defaultRowHeight="14.4" x14ac:dyDescent="0.3"/>
  <cols>
    <col min="1" max="1" width="5.109375" bestFit="1" customWidth="1"/>
    <col min="2" max="2" width="39.44140625" customWidth="1"/>
    <col min="3" max="3" width="5.88671875" style="1" customWidth="1"/>
    <col min="4" max="4" width="12" style="6" bestFit="1" customWidth="1"/>
    <col min="5" max="7" width="11.44140625" style="6"/>
    <col min="8" max="11" width="12.88671875" style="6" customWidth="1"/>
  </cols>
  <sheetData>
    <row r="1" spans="1:11" x14ac:dyDescent="0.3">
      <c r="A1" t="s">
        <v>626</v>
      </c>
    </row>
    <row r="2" spans="1:11" x14ac:dyDescent="0.3">
      <c r="A2" s="55" t="s">
        <v>39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1" x14ac:dyDescent="0.3">
      <c r="A3" s="55" t="s">
        <v>627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1" x14ac:dyDescent="0.3">
      <c r="A4" s="55" t="s">
        <v>33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1" ht="6.75" customHeight="1" x14ac:dyDescent="0.3"/>
    <row r="6" spans="1:11" s="12" customFormat="1" x14ac:dyDescent="0.3">
      <c r="A6" s="74" t="s">
        <v>26</v>
      </c>
      <c r="B6" s="74" t="s">
        <v>27</v>
      </c>
      <c r="C6" s="76" t="s">
        <v>28</v>
      </c>
      <c r="D6" s="78" t="s">
        <v>29</v>
      </c>
      <c r="E6" s="78"/>
      <c r="F6" s="79" t="s">
        <v>30</v>
      </c>
      <c r="G6" s="79"/>
      <c r="H6" s="69" t="s">
        <v>40</v>
      </c>
      <c r="I6" s="69"/>
      <c r="J6" s="70" t="s">
        <v>41</v>
      </c>
      <c r="K6" s="70"/>
    </row>
    <row r="7" spans="1:11" s="12" customFormat="1" x14ac:dyDescent="0.3">
      <c r="A7" s="75"/>
      <c r="B7" s="75"/>
      <c r="C7" s="77"/>
      <c r="D7" s="13" t="s">
        <v>12</v>
      </c>
      <c r="E7" s="13" t="s">
        <v>13</v>
      </c>
      <c r="F7" s="15" t="s">
        <v>31</v>
      </c>
      <c r="G7" s="15" t="s">
        <v>32</v>
      </c>
      <c r="H7" s="49" t="s">
        <v>44</v>
      </c>
      <c r="I7" s="49" t="s">
        <v>4</v>
      </c>
      <c r="J7" s="51" t="s">
        <v>42</v>
      </c>
      <c r="K7" s="51" t="s">
        <v>43</v>
      </c>
    </row>
    <row r="8" spans="1:11" s="12" customFormat="1" x14ac:dyDescent="0.3">
      <c r="A8" s="23">
        <v>1</v>
      </c>
      <c r="B8" s="41" t="s">
        <v>22</v>
      </c>
      <c r="C8" s="24" t="s">
        <v>34</v>
      </c>
      <c r="D8" s="13" t="e">
        <f ca="1">Mayores!A8</f>
        <v>#NAME?</v>
      </c>
      <c r="E8" s="13" t="e">
        <f ca="1">Mayores!B8</f>
        <v>#NAME?</v>
      </c>
      <c r="F8" s="15" t="e">
        <f ca="1">IF(D8&gt;E8,D8-E8,"")</f>
        <v>#NAME?</v>
      </c>
      <c r="G8" s="15" t="e">
        <f ca="1">IF(E8&gt;D8,E8-D8,"")</f>
        <v>#NAME?</v>
      </c>
      <c r="H8" s="50">
        <f>IF(C8="E",F8,)</f>
        <v>0</v>
      </c>
      <c r="I8" s="50">
        <f>IF(C8="I",G8,0)</f>
        <v>0</v>
      </c>
      <c r="J8" s="52" t="e">
        <f ca="1">IF(C8="A",F8,0)</f>
        <v>#NAME?</v>
      </c>
      <c r="K8" s="52">
        <f>IF(OR(C8="P",C8="PAT"),G8,0)</f>
        <v>0</v>
      </c>
    </row>
    <row r="9" spans="1:11" s="12" customFormat="1" x14ac:dyDescent="0.3">
      <c r="A9" s="23">
        <v>2</v>
      </c>
      <c r="B9" s="41" t="s">
        <v>20</v>
      </c>
      <c r="C9" s="24" t="s">
        <v>34</v>
      </c>
      <c r="D9" s="13" t="e">
        <f ca="1">Mayores!D7</f>
        <v>#NAME?</v>
      </c>
      <c r="E9" s="13"/>
      <c r="F9" s="15" t="e">
        <f t="shared" ref="F9:F24" ca="1" si="0">IF(D9&gt;E9,D9-E9,"")</f>
        <v>#NAME?</v>
      </c>
      <c r="G9" s="15" t="e">
        <f t="shared" ref="G9:G24" ca="1" si="1">IF(E9&gt;D9,E9-D9,"")</f>
        <v>#NAME?</v>
      </c>
      <c r="H9" s="50">
        <f t="shared" ref="H9:H24" si="2">IF(C9="E",F9,)</f>
        <v>0</v>
      </c>
      <c r="I9" s="50">
        <f t="shared" ref="I9:I24" si="3">IF(C9="I",G9,0)</f>
        <v>0</v>
      </c>
      <c r="J9" s="52" t="e">
        <f t="shared" ref="J9:J24" ca="1" si="4">IF(C9="A",F9,0)</f>
        <v>#NAME?</v>
      </c>
      <c r="K9" s="52">
        <f t="shared" ref="K9:K24" si="5">IF(OR(C9="P",C9="PAT"),G9,0)</f>
        <v>0</v>
      </c>
    </row>
    <row r="10" spans="1:11" s="12" customFormat="1" x14ac:dyDescent="0.3">
      <c r="A10" s="23">
        <v>3</v>
      </c>
      <c r="B10" s="41" t="s">
        <v>5</v>
      </c>
      <c r="C10" s="24" t="s">
        <v>34</v>
      </c>
      <c r="D10" s="13" t="e">
        <f ca="1">Mayores!G7</f>
        <v>#NAME?</v>
      </c>
      <c r="E10" s="13"/>
      <c r="F10" s="15" t="e">
        <f t="shared" ca="1" si="0"/>
        <v>#NAME?</v>
      </c>
      <c r="G10" s="15" t="e">
        <f t="shared" ca="1" si="1"/>
        <v>#NAME?</v>
      </c>
      <c r="H10" s="50">
        <f t="shared" si="2"/>
        <v>0</v>
      </c>
      <c r="I10" s="50">
        <f t="shared" si="3"/>
        <v>0</v>
      </c>
      <c r="J10" s="52" t="e">
        <f t="shared" ca="1" si="4"/>
        <v>#NAME?</v>
      </c>
      <c r="K10" s="52">
        <f t="shared" si="5"/>
        <v>0</v>
      </c>
    </row>
    <row r="11" spans="1:11" s="12" customFormat="1" x14ac:dyDescent="0.3">
      <c r="A11" s="23">
        <v>4</v>
      </c>
      <c r="B11" s="41" t="s">
        <v>16</v>
      </c>
      <c r="C11" s="24" t="s">
        <v>34</v>
      </c>
      <c r="D11" s="13" t="e">
        <f ca="1">Mayores!J6</f>
        <v>#NAME?</v>
      </c>
      <c r="E11" s="13"/>
      <c r="F11" s="15" t="e">
        <f t="shared" ca="1" si="0"/>
        <v>#NAME?</v>
      </c>
      <c r="G11" s="15" t="e">
        <f t="shared" ca="1" si="1"/>
        <v>#NAME?</v>
      </c>
      <c r="H11" s="50">
        <f t="shared" si="2"/>
        <v>0</v>
      </c>
      <c r="I11" s="50">
        <f t="shared" si="3"/>
        <v>0</v>
      </c>
      <c r="J11" s="52" t="e">
        <f t="shared" ca="1" si="4"/>
        <v>#NAME?</v>
      </c>
      <c r="K11" s="52">
        <f t="shared" si="5"/>
        <v>0</v>
      </c>
    </row>
    <row r="12" spans="1:11" s="12" customFormat="1" x14ac:dyDescent="0.3">
      <c r="A12" s="23">
        <v>5</v>
      </c>
      <c r="B12" s="41" t="s">
        <v>591</v>
      </c>
      <c r="C12" s="24" t="s">
        <v>34</v>
      </c>
      <c r="D12" s="13" t="e">
        <f ca="1">Mayores!M6</f>
        <v>#NAME?</v>
      </c>
      <c r="E12" s="13"/>
      <c r="F12" s="15" t="e">
        <f t="shared" ca="1" si="0"/>
        <v>#NAME?</v>
      </c>
      <c r="G12" s="15" t="e">
        <f t="shared" ca="1" si="1"/>
        <v>#NAME?</v>
      </c>
      <c r="H12" s="50">
        <f t="shared" si="2"/>
        <v>0</v>
      </c>
      <c r="I12" s="50">
        <f t="shared" si="3"/>
        <v>0</v>
      </c>
      <c r="J12" s="52" t="e">
        <f t="shared" ca="1" si="4"/>
        <v>#NAME?</v>
      </c>
      <c r="K12" s="52">
        <f t="shared" si="5"/>
        <v>0</v>
      </c>
    </row>
    <row r="13" spans="1:11" s="12" customFormat="1" x14ac:dyDescent="0.3">
      <c r="A13" s="23">
        <v>6</v>
      </c>
      <c r="B13" s="41" t="s">
        <v>51</v>
      </c>
      <c r="C13" s="24" t="s">
        <v>37</v>
      </c>
      <c r="D13" s="13"/>
      <c r="E13" s="13" t="e">
        <f ca="1">Mayores!B13</f>
        <v>#NAME?</v>
      </c>
      <c r="F13" s="15" t="e">
        <f t="shared" ca="1" si="0"/>
        <v>#NAME?</v>
      </c>
      <c r="G13" s="15" t="e">
        <f t="shared" ca="1" si="1"/>
        <v>#NAME?</v>
      </c>
      <c r="H13" s="50">
        <f t="shared" si="2"/>
        <v>0</v>
      </c>
      <c r="I13" s="50">
        <f t="shared" si="3"/>
        <v>0</v>
      </c>
      <c r="J13" s="52">
        <f t="shared" si="4"/>
        <v>0</v>
      </c>
      <c r="K13" s="52" t="e">
        <f t="shared" ca="1" si="5"/>
        <v>#NAME?</v>
      </c>
    </row>
    <row r="14" spans="1:11" s="12" customFormat="1" x14ac:dyDescent="0.3">
      <c r="A14" s="23">
        <v>7</v>
      </c>
      <c r="B14" s="41" t="s">
        <v>592</v>
      </c>
      <c r="C14" s="24" t="s">
        <v>37</v>
      </c>
      <c r="D14" s="13" t="e">
        <f ca="1">Mayores!D15</f>
        <v>#NAME?</v>
      </c>
      <c r="E14" s="13" t="e">
        <f ca="1">Mayores!E15</f>
        <v>#NAME?</v>
      </c>
      <c r="F14" s="15" t="e">
        <f t="shared" ca="1" si="0"/>
        <v>#NAME?</v>
      </c>
      <c r="G14" s="15" t="e">
        <f t="shared" ca="1" si="1"/>
        <v>#NAME?</v>
      </c>
      <c r="H14" s="50">
        <f t="shared" si="2"/>
        <v>0</v>
      </c>
      <c r="I14" s="50">
        <f t="shared" si="3"/>
        <v>0</v>
      </c>
      <c r="J14" s="52">
        <f t="shared" si="4"/>
        <v>0</v>
      </c>
      <c r="K14" s="52" t="e">
        <f t="shared" ca="1" si="5"/>
        <v>#NAME?</v>
      </c>
    </row>
    <row r="15" spans="1:11" s="12" customFormat="1" x14ac:dyDescent="0.3">
      <c r="A15" s="23">
        <v>8</v>
      </c>
      <c r="B15" s="41" t="s">
        <v>3</v>
      </c>
      <c r="C15" s="24" t="s">
        <v>36</v>
      </c>
      <c r="D15" s="13"/>
      <c r="E15" s="13" t="e">
        <f ca="1">Mayores!H13</f>
        <v>#NAME?</v>
      </c>
      <c r="F15" s="15" t="e">
        <f t="shared" ca="1" si="0"/>
        <v>#NAME?</v>
      </c>
      <c r="G15" s="15" t="e">
        <f t="shared" ca="1" si="1"/>
        <v>#NAME?</v>
      </c>
      <c r="H15" s="50">
        <f t="shared" si="2"/>
        <v>0</v>
      </c>
      <c r="I15" s="50">
        <f t="shared" si="3"/>
        <v>0</v>
      </c>
      <c r="J15" s="52">
        <f t="shared" si="4"/>
        <v>0</v>
      </c>
      <c r="K15" s="52" t="e">
        <f t="shared" ca="1" si="5"/>
        <v>#NAME?</v>
      </c>
    </row>
    <row r="16" spans="1:11" s="12" customFormat="1" x14ac:dyDescent="0.3">
      <c r="A16" s="23">
        <v>9</v>
      </c>
      <c r="B16" s="41" t="s">
        <v>24</v>
      </c>
      <c r="C16" s="24" t="s">
        <v>34</v>
      </c>
      <c r="D16" s="13" t="e">
        <f ca="1">Mayores!J19</f>
        <v>#NAME?</v>
      </c>
      <c r="E16" s="13" t="e">
        <f ca="1">Mayores!K19</f>
        <v>#NAME?</v>
      </c>
      <c r="F16" s="15" t="e">
        <f t="shared" ca="1" si="0"/>
        <v>#NAME?</v>
      </c>
      <c r="G16" s="15" t="e">
        <f t="shared" ca="1" si="1"/>
        <v>#NAME?</v>
      </c>
      <c r="H16" s="50">
        <f t="shared" si="2"/>
        <v>0</v>
      </c>
      <c r="I16" s="50">
        <f t="shared" si="3"/>
        <v>0</v>
      </c>
      <c r="J16" s="52" t="e">
        <f t="shared" ca="1" si="4"/>
        <v>#NAME?</v>
      </c>
      <c r="K16" s="52">
        <f t="shared" si="5"/>
        <v>0</v>
      </c>
    </row>
    <row r="17" spans="1:11" s="12" customFormat="1" x14ac:dyDescent="0.3">
      <c r="A17" s="23">
        <v>10</v>
      </c>
      <c r="B17" s="41" t="s">
        <v>52</v>
      </c>
      <c r="C17" s="24" t="s">
        <v>35</v>
      </c>
      <c r="D17" s="13" t="e">
        <f ca="1">Mayores!M14</f>
        <v>#NAME?</v>
      </c>
      <c r="E17" s="13"/>
      <c r="F17" s="15" t="e">
        <f t="shared" ca="1" si="0"/>
        <v>#NAME?</v>
      </c>
      <c r="G17" s="15" t="e">
        <f t="shared" ca="1" si="1"/>
        <v>#NAME?</v>
      </c>
      <c r="H17" s="50" t="e">
        <f t="shared" ca="1" si="2"/>
        <v>#NAME?</v>
      </c>
      <c r="I17" s="50">
        <f t="shared" si="3"/>
        <v>0</v>
      </c>
      <c r="J17" s="52">
        <f t="shared" si="4"/>
        <v>0</v>
      </c>
      <c r="K17" s="52">
        <f t="shared" si="5"/>
        <v>0</v>
      </c>
    </row>
    <row r="18" spans="1:11" s="12" customFormat="1" x14ac:dyDescent="0.3">
      <c r="A18" s="23">
        <v>11</v>
      </c>
      <c r="B18" s="41" t="s">
        <v>14</v>
      </c>
      <c r="C18" s="24" t="s">
        <v>38</v>
      </c>
      <c r="D18" s="13"/>
      <c r="E18" s="13" t="e">
        <f ca="1">Mayores!B24</f>
        <v>#NAME?</v>
      </c>
      <c r="F18" s="15" t="e">
        <f t="shared" ca="1" si="0"/>
        <v>#NAME?</v>
      </c>
      <c r="G18" s="15" t="e">
        <f t="shared" ca="1" si="1"/>
        <v>#NAME?</v>
      </c>
      <c r="H18" s="50">
        <f t="shared" si="2"/>
        <v>0</v>
      </c>
      <c r="I18" s="50" t="e">
        <f t="shared" ca="1" si="3"/>
        <v>#NAME?</v>
      </c>
      <c r="J18" s="52">
        <f t="shared" si="4"/>
        <v>0</v>
      </c>
      <c r="K18" s="52">
        <f t="shared" si="5"/>
        <v>0</v>
      </c>
    </row>
    <row r="19" spans="1:11" s="12" customFormat="1" x14ac:dyDescent="0.3">
      <c r="A19" s="23">
        <v>12</v>
      </c>
      <c r="B19" s="41" t="s">
        <v>15</v>
      </c>
      <c r="C19" s="24" t="s">
        <v>37</v>
      </c>
      <c r="D19" s="13" t="e">
        <f ca="1">Mayores!D25</f>
        <v>#NAME?</v>
      </c>
      <c r="E19" s="13" t="e">
        <f ca="1">Mayores!E25</f>
        <v>#NAME?</v>
      </c>
      <c r="F19" s="15" t="e">
        <f t="shared" ca="1" si="0"/>
        <v>#NAME?</v>
      </c>
      <c r="G19" s="15" t="e">
        <f t="shared" ca="1" si="1"/>
        <v>#NAME?</v>
      </c>
      <c r="H19" s="50">
        <f t="shared" si="2"/>
        <v>0</v>
      </c>
      <c r="I19" s="50">
        <f t="shared" si="3"/>
        <v>0</v>
      </c>
      <c r="J19" s="52">
        <f t="shared" si="4"/>
        <v>0</v>
      </c>
      <c r="K19" s="52" t="e">
        <f t="shared" ca="1" si="5"/>
        <v>#NAME?</v>
      </c>
    </row>
    <row r="20" spans="1:11" s="12" customFormat="1" x14ac:dyDescent="0.3">
      <c r="A20" s="23">
        <v>13</v>
      </c>
      <c r="B20" s="41" t="s">
        <v>593</v>
      </c>
      <c r="C20" s="24" t="s">
        <v>37</v>
      </c>
      <c r="D20" s="13"/>
      <c r="E20" s="13" t="e">
        <f ca="1">Mayores!H24</f>
        <v>#NAME?</v>
      </c>
      <c r="F20" s="15" t="e">
        <f t="shared" ca="1" si="0"/>
        <v>#NAME?</v>
      </c>
      <c r="G20" s="15" t="e">
        <f t="shared" ca="1" si="1"/>
        <v>#NAME?</v>
      </c>
      <c r="H20" s="50">
        <f t="shared" si="2"/>
        <v>0</v>
      </c>
      <c r="I20" s="50">
        <f t="shared" si="3"/>
        <v>0</v>
      </c>
      <c r="J20" s="52">
        <f t="shared" si="4"/>
        <v>0</v>
      </c>
      <c r="K20" s="52" t="e">
        <f t="shared" ca="1" si="5"/>
        <v>#NAME?</v>
      </c>
    </row>
    <row r="21" spans="1:11" s="12" customFormat="1" x14ac:dyDescent="0.3">
      <c r="A21" s="23">
        <v>14</v>
      </c>
      <c r="B21" s="41" t="s">
        <v>25</v>
      </c>
      <c r="C21" s="24" t="s">
        <v>34</v>
      </c>
      <c r="D21" s="13" t="e">
        <f ca="1">Mayores!J27</f>
        <v>#NAME?</v>
      </c>
      <c r="E21" s="13" t="e">
        <f ca="1">Mayores!K27</f>
        <v>#NAME?</v>
      </c>
      <c r="F21" s="15" t="e">
        <f t="shared" ca="1" si="0"/>
        <v>#NAME?</v>
      </c>
      <c r="G21" s="15" t="e">
        <f t="shared" ca="1" si="1"/>
        <v>#NAME?</v>
      </c>
      <c r="H21" s="50">
        <f t="shared" si="2"/>
        <v>0</v>
      </c>
      <c r="I21" s="50">
        <f t="shared" si="3"/>
        <v>0</v>
      </c>
      <c r="J21" s="52" t="e">
        <f t="shared" ca="1" si="4"/>
        <v>#NAME?</v>
      </c>
      <c r="K21" s="52" t="e">
        <f ca="1">G21</f>
        <v>#NAME?</v>
      </c>
    </row>
    <row r="22" spans="1:11" s="12" customFormat="1" x14ac:dyDescent="0.3">
      <c r="A22" s="23">
        <v>15</v>
      </c>
      <c r="B22" s="41" t="s">
        <v>53</v>
      </c>
      <c r="C22" s="24" t="s">
        <v>34</v>
      </c>
      <c r="D22" s="13" t="e">
        <f ca="1">Mayores!M23</f>
        <v>#NAME?</v>
      </c>
      <c r="E22" s="13"/>
      <c r="F22" s="15" t="e">
        <f t="shared" ca="1" si="0"/>
        <v>#NAME?</v>
      </c>
      <c r="G22" s="15" t="e">
        <f t="shared" ca="1" si="1"/>
        <v>#NAME?</v>
      </c>
      <c r="H22" s="50">
        <f t="shared" si="2"/>
        <v>0</v>
      </c>
      <c r="I22" s="50">
        <f t="shared" si="3"/>
        <v>0</v>
      </c>
      <c r="J22" s="52" t="e">
        <f t="shared" ca="1" si="4"/>
        <v>#NAME?</v>
      </c>
      <c r="K22" s="52">
        <f t="shared" si="5"/>
        <v>0</v>
      </c>
    </row>
    <row r="23" spans="1:11" s="12" customFormat="1" x14ac:dyDescent="0.3">
      <c r="A23" s="23">
        <v>16</v>
      </c>
      <c r="B23" s="41" t="s">
        <v>602</v>
      </c>
      <c r="C23" s="24" t="s">
        <v>35</v>
      </c>
      <c r="D23" s="13" t="e">
        <f ca="1">Mayores!A33</f>
        <v>#NAME?</v>
      </c>
      <c r="E23" s="13"/>
      <c r="F23" s="15" t="e">
        <f t="shared" ca="1" si="0"/>
        <v>#NAME?</v>
      </c>
      <c r="G23" s="15" t="e">
        <f t="shared" ca="1" si="1"/>
        <v>#NAME?</v>
      </c>
      <c r="H23" s="50" t="e">
        <f t="shared" ca="1" si="2"/>
        <v>#NAME?</v>
      </c>
      <c r="I23" s="50">
        <f t="shared" si="3"/>
        <v>0</v>
      </c>
      <c r="J23" s="52">
        <f t="shared" si="4"/>
        <v>0</v>
      </c>
      <c r="K23" s="52">
        <f t="shared" si="5"/>
        <v>0</v>
      </c>
    </row>
    <row r="24" spans="1:11" x14ac:dyDescent="0.3">
      <c r="A24" s="23">
        <v>17</v>
      </c>
      <c r="B24" s="42" t="s">
        <v>609</v>
      </c>
      <c r="C24" s="16" t="s">
        <v>35</v>
      </c>
      <c r="D24" s="14" t="e">
        <f ca="1">Mayores!D33</f>
        <v>#NAME?</v>
      </c>
      <c r="E24" s="11"/>
      <c r="F24" s="15" t="e">
        <f t="shared" ca="1" si="0"/>
        <v>#NAME?</v>
      </c>
      <c r="G24" s="15" t="e">
        <f t="shared" ca="1" si="1"/>
        <v>#NAME?</v>
      </c>
      <c r="H24" s="50" t="e">
        <f t="shared" ca="1" si="2"/>
        <v>#NAME?</v>
      </c>
      <c r="I24" s="50">
        <f t="shared" si="3"/>
        <v>0</v>
      </c>
      <c r="J24" s="52">
        <f t="shared" si="4"/>
        <v>0</v>
      </c>
      <c r="K24" s="52">
        <f t="shared" si="5"/>
        <v>0</v>
      </c>
    </row>
    <row r="25" spans="1:11" x14ac:dyDescent="0.3">
      <c r="B25" s="20"/>
      <c r="C25" s="21"/>
      <c r="D25" s="22" t="e">
        <f t="shared" ref="D25:K25" ca="1" si="6">SUM(D8:D24)</f>
        <v>#NAME?</v>
      </c>
      <c r="E25" s="22" t="e">
        <f t="shared" ca="1" si="6"/>
        <v>#NAME?</v>
      </c>
      <c r="F25" s="22" t="e">
        <f t="shared" ca="1" si="6"/>
        <v>#NAME?</v>
      </c>
      <c r="G25" s="22" t="e">
        <f t="shared" ca="1" si="6"/>
        <v>#NAME?</v>
      </c>
      <c r="H25" s="53" t="e">
        <f t="shared" ca="1" si="6"/>
        <v>#NAME?</v>
      </c>
      <c r="I25" s="53" t="e">
        <f t="shared" ca="1" si="6"/>
        <v>#NAME?</v>
      </c>
      <c r="J25" s="53" t="e">
        <f t="shared" ca="1" si="6"/>
        <v>#NAME?</v>
      </c>
      <c r="K25" s="53" t="e">
        <f t="shared" ca="1" si="6"/>
        <v>#NAME?</v>
      </c>
    </row>
    <row r="26" spans="1:11" x14ac:dyDescent="0.3">
      <c r="B26" s="71"/>
      <c r="C26" s="72"/>
      <c r="D26" s="72"/>
      <c r="E26" s="72"/>
      <c r="F26" s="72"/>
      <c r="G26" s="73"/>
      <c r="H26" s="54"/>
      <c r="I26" s="54" t="e">
        <f ca="1">I25-H25</f>
        <v>#NAME?</v>
      </c>
      <c r="J26" s="54" t="e">
        <f ca="1">J25-K25</f>
        <v>#NAME?</v>
      </c>
      <c r="K26" s="54"/>
    </row>
    <row r="27" spans="1:11" x14ac:dyDescent="0.3">
      <c r="B27" s="66"/>
      <c r="C27" s="67"/>
      <c r="D27" s="67"/>
      <c r="E27" s="67"/>
      <c r="F27" s="67"/>
      <c r="G27" s="68"/>
      <c r="H27" s="53" t="e">
        <f ca="1">SUM(H25:H26)</f>
        <v>#NAME?</v>
      </c>
      <c r="I27" s="53" t="e">
        <f ca="1">I25-I26</f>
        <v>#NAME?</v>
      </c>
      <c r="J27" s="53" t="e">
        <f ca="1">J25-J26</f>
        <v>#NAME?</v>
      </c>
      <c r="K27" s="53" t="e">
        <f t="shared" ref="K27" ca="1" si="7">SUM(K25:K26)</f>
        <v>#NAME?</v>
      </c>
    </row>
    <row r="32" spans="1:11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</sheetData>
  <autoFilter ref="A6:K26" xr:uid="{00000000-0009-0000-0000-000006000000}">
    <filterColumn colId="3" showButton="0"/>
    <filterColumn colId="5" showButton="0"/>
    <filterColumn colId="7" showButton="0"/>
    <filterColumn colId="9" showButton="0"/>
  </autoFilter>
  <mergeCells count="12">
    <mergeCell ref="B27:G27"/>
    <mergeCell ref="H6:I6"/>
    <mergeCell ref="J6:K6"/>
    <mergeCell ref="B26:G26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16A-A84C-41C4-8660-3F4E856B93B5}">
  <sheetPr>
    <tabColor rgb="FFFF0000"/>
  </sheetPr>
  <dimension ref="A1:D30"/>
  <sheetViews>
    <sheetView showGridLines="0" zoomScaleNormal="100" workbookViewId="0">
      <selection activeCell="F29" sqref="F29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6"/>
  </cols>
  <sheetData>
    <row r="1" spans="1:4" x14ac:dyDescent="0.3">
      <c r="A1" s="35" t="s">
        <v>628</v>
      </c>
    </row>
    <row r="2" spans="1:4" ht="2.25" customHeight="1" x14ac:dyDescent="0.3"/>
    <row r="3" spans="1:4" x14ac:dyDescent="0.3">
      <c r="A3" s="55" t="s">
        <v>40</v>
      </c>
      <c r="B3" s="55"/>
      <c r="C3" s="55"/>
      <c r="D3" s="55"/>
    </row>
    <row r="4" spans="1:4" x14ac:dyDescent="0.3">
      <c r="A4" s="55" t="s">
        <v>629</v>
      </c>
      <c r="B4" s="55"/>
      <c r="C4" s="55"/>
      <c r="D4" s="55"/>
    </row>
    <row r="5" spans="1:4" x14ac:dyDescent="0.3">
      <c r="A5" s="55" t="s">
        <v>19</v>
      </c>
      <c r="B5" s="55"/>
      <c r="C5" s="55"/>
      <c r="D5" s="55"/>
    </row>
    <row r="6" spans="1:4" ht="6" customHeight="1" x14ac:dyDescent="0.3"/>
    <row r="7" spans="1:4" s="2" customFormat="1" x14ac:dyDescent="0.3">
      <c r="A7" s="2" t="s">
        <v>621</v>
      </c>
      <c r="C7" s="8"/>
      <c r="D7" s="8" t="e">
        <f ca="1">SUM(C8:C10)</f>
        <v>#NAME?</v>
      </c>
    </row>
    <row r="8" spans="1:4" x14ac:dyDescent="0.3">
      <c r="B8" t="s">
        <v>620</v>
      </c>
      <c r="C8" s="6" t="e">
        <f ca="1">'HOJA DE TRABAJO'!E18</f>
        <v>#NAME?</v>
      </c>
    </row>
    <row r="9" spans="1:4" x14ac:dyDescent="0.3">
      <c r="A9" t="s">
        <v>618</v>
      </c>
      <c r="B9" t="s">
        <v>619</v>
      </c>
      <c r="C9" s="6">
        <v>0</v>
      </c>
    </row>
    <row r="10" spans="1:4" x14ac:dyDescent="0.3">
      <c r="A10" t="s">
        <v>618</v>
      </c>
      <c r="B10" t="s">
        <v>617</v>
      </c>
      <c r="C10" s="9">
        <v>0</v>
      </c>
    </row>
    <row r="11" spans="1:4" ht="6.75" customHeight="1" x14ac:dyDescent="0.3"/>
    <row r="12" spans="1:4" s="2" customFormat="1" x14ac:dyDescent="0.3">
      <c r="A12" s="2" t="s">
        <v>616</v>
      </c>
      <c r="C12" s="8"/>
      <c r="D12" s="8">
        <v>0</v>
      </c>
    </row>
    <row r="13" spans="1:4" x14ac:dyDescent="0.3">
      <c r="B13" t="s">
        <v>615</v>
      </c>
      <c r="C13" s="9">
        <v>0</v>
      </c>
    </row>
    <row r="14" spans="1:4" ht="3.75" customHeight="1" x14ac:dyDescent="0.3">
      <c r="D14" s="9"/>
    </row>
    <row r="15" spans="1:4" s="32" customFormat="1" x14ac:dyDescent="0.3">
      <c r="B15" s="32" t="s">
        <v>614</v>
      </c>
      <c r="C15" s="34"/>
      <c r="D15" s="33" t="e">
        <f ca="1">+D7-D12</f>
        <v>#NAME?</v>
      </c>
    </row>
    <row r="16" spans="1:4" ht="7.5" customHeight="1" x14ac:dyDescent="0.3">
      <c r="D16" s="8"/>
    </row>
    <row r="17" spans="1:4" x14ac:dyDescent="0.3">
      <c r="A17" s="2" t="s">
        <v>613</v>
      </c>
      <c r="D17" s="8" t="e">
        <f ca="1">SUM(C18:C20)</f>
        <v>#NAME?</v>
      </c>
    </row>
    <row r="18" spans="1:4" x14ac:dyDescent="0.3">
      <c r="B18" s="6" t="str">
        <f>+'[1]HOJA DE TRABAJO'!B16</f>
        <v>I.T.</v>
      </c>
      <c r="C18" s="6" t="e">
        <f ca="1">'HOJA DE TRABAJO'!D17</f>
        <v>#NAME?</v>
      </c>
      <c r="D18" s="8"/>
    </row>
    <row r="19" spans="1:4" x14ac:dyDescent="0.3">
      <c r="B19" s="6" t="str">
        <f>'HOJA DE TRABAJO'!B23</f>
        <v>MANTENIMIENTO MOBILIARIO</v>
      </c>
      <c r="C19" s="6">
        <v>70</v>
      </c>
      <c r="D19" s="8"/>
    </row>
    <row r="20" spans="1:4" x14ac:dyDescent="0.3">
      <c r="B20" s="6" t="str">
        <f>'HOJA DE TRABAJO'!B24</f>
        <v>ALQUILER DE OFICINA</v>
      </c>
      <c r="C20" s="6" t="e">
        <f ca="1">'HOJA DE TRABAJO'!D24</f>
        <v>#NAME?</v>
      </c>
      <c r="D20" s="8"/>
    </row>
    <row r="21" spans="1:4" ht="5.25" customHeight="1" x14ac:dyDescent="0.3">
      <c r="D21" s="31"/>
    </row>
    <row r="22" spans="1:4" x14ac:dyDescent="0.3">
      <c r="B22" s="12" t="s">
        <v>624</v>
      </c>
      <c r="D22" s="8" t="e">
        <f ca="1">D15-D17</f>
        <v>#NAME?</v>
      </c>
    </row>
    <row r="23" spans="1:4" ht="6.75" customHeight="1" x14ac:dyDescent="0.3">
      <c r="D23" s="8"/>
    </row>
    <row r="24" spans="1:4" ht="7.5" customHeight="1" x14ac:dyDescent="0.3"/>
    <row r="25" spans="1:4" ht="15" thickBot="1" x14ac:dyDescent="0.35">
      <c r="B25" s="12" t="s">
        <v>625</v>
      </c>
      <c r="D25" s="30" t="e">
        <f ca="1">D22</f>
        <v>#NAME?</v>
      </c>
    </row>
    <row r="26" spans="1:4" ht="15" thickTop="1" x14ac:dyDescent="0.3"/>
    <row r="30" spans="1:4" x14ac:dyDescent="0.3">
      <c r="B30" s="2" t="s">
        <v>612</v>
      </c>
      <c r="C30" s="8" t="s">
        <v>611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CFD-81F5-45E8-9651-1CA8AC913EC5}">
  <sheetPr>
    <tabColor rgb="FFFF0000"/>
  </sheetPr>
  <dimension ref="A1:H39"/>
  <sheetViews>
    <sheetView showGridLines="0" topLeftCell="A11" zoomScale="115" zoomScaleNormal="115" workbookViewId="0">
      <selection activeCell="I29" sqref="I29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6" customWidth="1"/>
    <col min="4" max="4" width="15.88671875" style="6" customWidth="1"/>
  </cols>
  <sheetData>
    <row r="1" spans="1:4" x14ac:dyDescent="0.3">
      <c r="A1" s="35" t="s">
        <v>626</v>
      </c>
    </row>
    <row r="2" spans="1:4" ht="2.25" customHeight="1" x14ac:dyDescent="0.3"/>
    <row r="3" spans="1:4" x14ac:dyDescent="0.3">
      <c r="A3" s="55" t="s">
        <v>41</v>
      </c>
      <c r="B3" s="55"/>
      <c r="C3" s="55"/>
      <c r="D3" s="55"/>
    </row>
    <row r="4" spans="1:4" x14ac:dyDescent="0.3">
      <c r="A4" s="55" t="s">
        <v>630</v>
      </c>
      <c r="B4" s="55"/>
      <c r="C4" s="55"/>
      <c r="D4" s="55"/>
    </row>
    <row r="5" spans="1:4" x14ac:dyDescent="0.3">
      <c r="A5" s="55" t="s">
        <v>19</v>
      </c>
      <c r="B5" s="55"/>
      <c r="C5" s="55"/>
      <c r="D5" s="55"/>
    </row>
    <row r="6" spans="1:4" ht="6" customHeight="1" x14ac:dyDescent="0.3"/>
    <row r="7" spans="1:4" s="2" customFormat="1" x14ac:dyDescent="0.3">
      <c r="A7" s="2" t="s">
        <v>0</v>
      </c>
      <c r="C7" s="8"/>
      <c r="D7" s="8"/>
    </row>
    <row r="8" spans="1:4" s="2" customFormat="1" x14ac:dyDescent="0.3">
      <c r="B8" s="2" t="s">
        <v>45</v>
      </c>
      <c r="C8" s="8"/>
      <c r="D8" s="8" t="e">
        <f ca="1">SUM(C9:C14)</f>
        <v>#NAME?</v>
      </c>
    </row>
    <row r="9" spans="1:4" x14ac:dyDescent="0.3">
      <c r="B9" t="s">
        <v>623</v>
      </c>
      <c r="C9" s="6" t="e">
        <f ca="1">'HOJA DE TRABAJO'!F16</f>
        <v>#NAME?</v>
      </c>
    </row>
    <row r="10" spans="1:4" x14ac:dyDescent="0.3">
      <c r="B10" s="6" t="s">
        <v>22</v>
      </c>
      <c r="C10" s="6" t="e">
        <f ca="1">'HOJA DE TRABAJO'!F8</f>
        <v>#NAME?</v>
      </c>
    </row>
    <row r="11" spans="1:4" x14ac:dyDescent="0.3">
      <c r="B11" s="6" t="s">
        <v>20</v>
      </c>
      <c r="C11" s="6" t="e">
        <f ca="1">'HOJA DE TRABAJO'!F9</f>
        <v>#NAME?</v>
      </c>
    </row>
    <row r="12" spans="1:4" x14ac:dyDescent="0.3">
      <c r="B12" s="6" t="s">
        <v>16</v>
      </c>
      <c r="C12" s="6" t="e">
        <f ca="1">'HOJA DE TRABAJO'!J11</f>
        <v>#NAME?</v>
      </c>
    </row>
    <row r="13" spans="1:4" x14ac:dyDescent="0.3">
      <c r="B13" s="6" t="s">
        <v>53</v>
      </c>
      <c r="C13" s="43" t="e">
        <f ca="1">'HOJA DE TRABAJO'!F22</f>
        <v>#NAME?</v>
      </c>
    </row>
    <row r="14" spans="1:4" x14ac:dyDescent="0.3">
      <c r="B14" s="6" t="s">
        <v>591</v>
      </c>
      <c r="C14" s="9" t="e">
        <f ca="1">'HOJA DE TRABAJO'!F12</f>
        <v>#NAME?</v>
      </c>
    </row>
    <row r="16" spans="1:4" s="2" customFormat="1" x14ac:dyDescent="0.3">
      <c r="B16" s="2" t="s">
        <v>46</v>
      </c>
      <c r="C16" s="8"/>
      <c r="D16" s="8" t="e">
        <f ca="1">SUM(C17:C17)</f>
        <v>#NAME?</v>
      </c>
    </row>
    <row r="17" spans="1:8" x14ac:dyDescent="0.3">
      <c r="B17" s="6" t="s">
        <v>5</v>
      </c>
      <c r="C17" s="6" t="e">
        <f ca="1">'HOJA DE TRABAJO'!F10</f>
        <v>#NAME?</v>
      </c>
    </row>
    <row r="18" spans="1:8" ht="9.75" customHeight="1" x14ac:dyDescent="0.3"/>
    <row r="19" spans="1:8" s="2" customFormat="1" ht="15" thickBot="1" x14ac:dyDescent="0.35">
      <c r="B19" s="12" t="s">
        <v>21</v>
      </c>
      <c r="C19" s="8"/>
      <c r="D19" s="36" t="e">
        <f ca="1">+D8+D16</f>
        <v>#NAME?</v>
      </c>
    </row>
    <row r="20" spans="1:8" ht="9" customHeight="1" thickTop="1" x14ac:dyDescent="0.3"/>
    <row r="21" spans="1:8" s="2" customFormat="1" x14ac:dyDescent="0.3">
      <c r="A21" s="2" t="s">
        <v>1</v>
      </c>
      <c r="C21" s="8"/>
      <c r="D21" s="8"/>
    </row>
    <row r="22" spans="1:8" s="2" customFormat="1" x14ac:dyDescent="0.3">
      <c r="B22" s="2" t="s">
        <v>2</v>
      </c>
      <c r="C22" s="8"/>
      <c r="D22" s="8" t="e">
        <f ca="1">SUM(C23:C26)</f>
        <v>#NAME?</v>
      </c>
    </row>
    <row r="23" spans="1:8" x14ac:dyDescent="0.3">
      <c r="B23" t="s">
        <v>631</v>
      </c>
      <c r="C23" s="6" t="e">
        <f ca="1">'HOJA DE TRABAJO'!G20</f>
        <v>#NAME?</v>
      </c>
    </row>
    <row r="24" spans="1:8" x14ac:dyDescent="0.3">
      <c r="B24" t="s">
        <v>51</v>
      </c>
      <c r="C24" s="6" t="e">
        <f ca="1">'HOJA DE TRABAJO'!G13</f>
        <v>#NAME?</v>
      </c>
      <c r="H24" t="s">
        <v>631</v>
      </c>
    </row>
    <row r="25" spans="1:8" x14ac:dyDescent="0.3">
      <c r="B25" t="s">
        <v>592</v>
      </c>
      <c r="C25" s="6" t="e">
        <f ca="1">'HOJA DE TRABAJO'!G14</f>
        <v>#NAME?</v>
      </c>
      <c r="H25" t="s">
        <v>632</v>
      </c>
    </row>
    <row r="26" spans="1:8" x14ac:dyDescent="0.3">
      <c r="B26" t="s">
        <v>15</v>
      </c>
      <c r="C26" s="6" t="e">
        <f ca="1">'HOJA DE TRABAJO'!K19</f>
        <v>#NAME?</v>
      </c>
      <c r="H26" t="s">
        <v>23</v>
      </c>
    </row>
    <row r="27" spans="1:8" ht="18" customHeight="1" x14ac:dyDescent="0.3"/>
    <row r="28" spans="1:8" s="2" customFormat="1" x14ac:dyDescent="0.3">
      <c r="A28" s="2" t="s">
        <v>7</v>
      </c>
      <c r="C28" s="8"/>
      <c r="D28" s="8"/>
    </row>
    <row r="29" spans="1:8" s="2" customFormat="1" x14ac:dyDescent="0.3">
      <c r="B29" s="2" t="s">
        <v>622</v>
      </c>
      <c r="C29" s="8"/>
      <c r="D29" s="8" t="e">
        <f ca="1">+C31+C30</f>
        <v>#NAME?</v>
      </c>
    </row>
    <row r="30" spans="1:8" s="2" customFormat="1" x14ac:dyDescent="0.3">
      <c r="B30" s="6" t="str">
        <f>+'[1]HOJA DE TRABAJO'!B12</f>
        <v>CAPITAL SOCIAL</v>
      </c>
      <c r="C30" s="6" t="e">
        <f ca="1">'HOJA DE TRABAJO'!G15</f>
        <v>#NAME?</v>
      </c>
      <c r="D30" s="8"/>
    </row>
    <row r="31" spans="1:8" x14ac:dyDescent="0.3">
      <c r="B31" t="s">
        <v>625</v>
      </c>
      <c r="C31" s="37" t="e">
        <f ca="1">ER!D25</f>
        <v>#NAME?</v>
      </c>
    </row>
    <row r="32" spans="1:8" s="2" customFormat="1" x14ac:dyDescent="0.3">
      <c r="C32" s="8"/>
      <c r="D32" s="8"/>
    </row>
    <row r="33" spans="2:4" ht="6" customHeight="1" x14ac:dyDescent="0.3"/>
    <row r="34" spans="2:4" ht="15" thickBot="1" x14ac:dyDescent="0.35">
      <c r="B34" s="12" t="s">
        <v>9</v>
      </c>
      <c r="D34" s="36" t="e">
        <f ca="1">D22+D29</f>
        <v>#NAME?</v>
      </c>
    </row>
    <row r="35" spans="2:4" ht="15" thickTop="1" x14ac:dyDescent="0.3"/>
    <row r="39" spans="2:4" s="2" customFormat="1" x14ac:dyDescent="0.3">
      <c r="B39" s="2" t="s">
        <v>612</v>
      </c>
      <c r="C39" s="8"/>
      <c r="D39" s="8" t="s">
        <v>611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plan</vt:lpstr>
      <vt:lpstr>Blce. Apertura</vt:lpstr>
      <vt:lpstr>Libro Diario 1</vt:lpstr>
      <vt:lpstr>Lista de Libros</vt:lpstr>
      <vt:lpstr>Mayores</vt:lpstr>
      <vt:lpstr>Blce. Apertura (2)</vt:lpstr>
      <vt:lpstr>HOJA DE TRABAJO</vt:lpstr>
      <vt:lpstr>ER</vt:lpstr>
      <vt:lpstr>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2023-12-20T06:06:27Z</dcterms:modified>
</cp:coreProperties>
</file>